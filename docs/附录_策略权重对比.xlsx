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权重对比总表" sheetId="1" state="visible" r:id="rId3"/>
    <sheet name="3.0 权重矩阵" sheetId="2" state="visible" r:id="rId4"/>
    <sheet name="420_static 权重矩阵" sheetId="3" state="visible" r:id="rId5"/>
    <sheet name="权重差值矩阵" sheetId="4" state="visible" r:id="rId6"/>
    <sheet name="风险锚参数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<sst xmlns="http://schemas.openxmlformats.org/spreadsheetml/2006/main" count="449" uniqueCount="104">
  <si>
    <r>
      <rPr>
        <b val="true"/>
        <sz val="14"/>
        <color rgb="FFFFFFFF"/>
        <rFont val="DejaVu Sans"/>
        <family val="2"/>
      </rPr>
      <t xml:space="preserve">附录：策略配置权重对比表（智能投顾 </t>
    </r>
    <r>
      <rPr>
        <b val="true"/>
        <sz val="14"/>
        <color rgb="FFFFFFFF"/>
        <rFont val="Arial"/>
        <family val="0"/>
        <charset val="1"/>
      </rPr>
      <t xml:space="preserve">3.0 vs 420_static</t>
    </r>
    <r>
      <rPr>
        <b val="true"/>
        <sz val="14"/>
        <color rgb="FFFFFFFF"/>
        <rFont val="DejaVu Sans"/>
        <family val="2"/>
      </rPr>
      <t xml:space="preserve">）</t>
    </r>
  </si>
  <si>
    <r>
      <rPr>
        <i val="true"/>
        <sz val="9"/>
        <color rgb="FF595959"/>
        <rFont val="Arial"/>
        <family val="0"/>
        <charset val="1"/>
      </rPr>
      <t xml:space="preserve">35 </t>
    </r>
    <r>
      <rPr>
        <i val="true"/>
        <sz val="9"/>
        <color rgb="FF595959"/>
        <rFont val="DejaVu Sans"/>
        <family val="2"/>
      </rPr>
      <t xml:space="preserve">个客户画像 </t>
    </r>
    <r>
      <rPr>
        <i val="true"/>
        <sz val="9"/>
        <color rgb="FF595959"/>
        <rFont val="Arial"/>
        <family val="0"/>
        <charset val="1"/>
      </rPr>
      <t xml:space="preserve">= 5 </t>
    </r>
    <r>
      <rPr>
        <i val="true"/>
        <sz val="9"/>
        <color rgb="FF595959"/>
        <rFont val="DejaVu Sans"/>
        <family val="2"/>
      </rPr>
      <t xml:space="preserve">风险等级（</t>
    </r>
    <r>
      <rPr>
        <i val="true"/>
        <sz val="9"/>
        <color rgb="FF595959"/>
        <rFont val="Arial"/>
        <family val="0"/>
        <charset val="1"/>
      </rPr>
      <t xml:space="preserve">C1–C5</t>
    </r>
    <r>
      <rPr>
        <i val="true"/>
        <sz val="9"/>
        <color rgb="FF595959"/>
        <rFont val="DejaVu Sans"/>
        <family val="2"/>
      </rPr>
      <t xml:space="preserve">）</t>
    </r>
    <r>
      <rPr>
        <i val="true"/>
        <sz val="9"/>
        <color rgb="FF595959"/>
        <rFont val="Arial"/>
        <family val="0"/>
        <charset val="1"/>
      </rPr>
      <t xml:space="preserve">× 7 </t>
    </r>
    <r>
      <rPr>
        <i val="true"/>
        <sz val="9"/>
        <color rgb="FF595959"/>
        <rFont val="DejaVu Sans"/>
        <family val="2"/>
      </rPr>
      <t xml:space="preserve">生命周期（</t>
    </r>
    <r>
      <rPr>
        <i val="true"/>
        <sz val="9"/>
        <color rgb="FF595959"/>
        <rFont val="Arial"/>
        <family val="0"/>
        <charset val="1"/>
      </rPr>
      <t xml:space="preserve">S1–S7</t>
    </r>
    <r>
      <rPr>
        <i val="true"/>
        <sz val="9"/>
        <color rgb="FF595959"/>
        <rFont val="DejaVu Sans"/>
        <family val="2"/>
      </rPr>
      <t xml:space="preserve">）；权重单位：</t>
    </r>
    <r>
      <rPr>
        <i val="true"/>
        <sz val="9"/>
        <color rgb="FF595959"/>
        <rFont val="Arial"/>
        <family val="0"/>
        <charset val="1"/>
      </rPr>
      <t xml:space="preserve">%</t>
    </r>
  </si>
  <si>
    <r>
      <rPr>
        <b val="true"/>
        <sz val="10"/>
        <color rgb="FFFFFFFF"/>
        <rFont val="DejaVu Sans"/>
        <family val="2"/>
      </rPr>
      <t xml:space="preserve">画像 </t>
    </r>
    <r>
      <rPr>
        <b val="true"/>
        <sz val="10"/>
        <color rgb="FFFFFFFF"/>
        <rFont val="Arial"/>
        <family val="0"/>
        <charset val="1"/>
      </rPr>
      <t xml:space="preserve">ID</t>
    </r>
  </si>
  <si>
    <t xml:space="preserve">风险等级</t>
  </si>
  <si>
    <t xml:space="preserve">生命周期</t>
  </si>
  <si>
    <r>
      <rPr>
        <b val="true"/>
        <sz val="10"/>
        <color rgb="FF1F4D78"/>
        <rFont val="DejaVu Sans"/>
        <family val="2"/>
      </rPr>
      <t xml:space="preserve">智能投顾 </t>
    </r>
    <r>
      <rPr>
        <b val="true"/>
        <sz val="10"/>
        <color rgb="FF1F4D78"/>
        <rFont val="Arial"/>
        <family val="0"/>
        <charset val="1"/>
      </rPr>
      <t xml:space="preserve">3.0</t>
    </r>
    <r>
      <rPr>
        <b val="true"/>
        <sz val="10"/>
        <color rgb="FF1F4D78"/>
        <rFont val="DejaVu Sans"/>
        <family val="2"/>
      </rPr>
      <t xml:space="preserve">（</t>
    </r>
    <r>
      <rPr>
        <b val="true"/>
        <sz val="10"/>
        <color rgb="FF1F4D78"/>
        <rFont val="Arial"/>
        <family val="0"/>
        <charset val="1"/>
      </rPr>
      <t xml:space="preserve">AI </t>
    </r>
    <r>
      <rPr>
        <b val="true"/>
        <sz val="10"/>
        <color rgb="FF1F4D78"/>
        <rFont val="DejaVu Sans"/>
        <family val="2"/>
      </rPr>
      <t xml:space="preserve">大模型权重）</t>
    </r>
  </si>
  <si>
    <r>
      <rPr>
        <b val="true"/>
        <sz val="10"/>
        <color rgb="FF1F4D78"/>
        <rFont val="Arial"/>
        <family val="0"/>
        <charset val="1"/>
      </rPr>
      <t xml:space="preserve">420_static</t>
    </r>
    <r>
      <rPr>
        <b val="true"/>
        <sz val="10"/>
        <color rgb="FF1F4D78"/>
        <rFont val="DejaVu Sans"/>
        <family val="2"/>
      </rPr>
      <t xml:space="preserve">（原体系静态权重）</t>
    </r>
  </si>
  <si>
    <t xml:space="preserve">Δ = 3.0 − 420_static</t>
  </si>
  <si>
    <t xml:space="preserve">合计验证</t>
  </si>
  <si>
    <t xml:space="preserve">CASH</t>
  </si>
  <si>
    <t xml:space="preserve">BOND</t>
  </si>
  <si>
    <t xml:space="preserve">EQUITY</t>
  </si>
  <si>
    <t xml:space="preserve">ALT</t>
  </si>
  <si>
    <t xml:space="preserve">合计</t>
  </si>
  <si>
    <t xml:space="preserve">ΔCASH</t>
  </si>
  <si>
    <t xml:space="preserve">ΔBOND</t>
  </si>
  <si>
    <t xml:space="preserve">ΔEQUITY</t>
  </si>
  <si>
    <t xml:space="preserve">ΔALT</t>
  </si>
  <si>
    <r>
      <rPr>
        <b val="true"/>
        <sz val="10"/>
        <color rgb="FF595959"/>
        <rFont val="Arial"/>
        <family val="0"/>
        <charset val="1"/>
      </rPr>
      <t xml:space="preserve">3.0 </t>
    </r>
    <r>
      <rPr>
        <b val="true"/>
        <sz val="10"/>
        <color rgb="FF595959"/>
        <rFont val="DejaVu Sans"/>
        <family val="2"/>
      </rPr>
      <t xml:space="preserve">合计</t>
    </r>
  </si>
  <si>
    <r>
      <rPr>
        <b val="true"/>
        <sz val="10"/>
        <color rgb="FF595959"/>
        <rFont val="Arial"/>
        <family val="0"/>
        <charset val="1"/>
      </rPr>
      <t xml:space="preserve">420 </t>
    </r>
    <r>
      <rPr>
        <b val="true"/>
        <sz val="10"/>
        <color rgb="FF595959"/>
        <rFont val="DejaVu Sans"/>
        <family val="2"/>
      </rPr>
      <t xml:space="preserve">合计</t>
    </r>
  </si>
  <si>
    <r>
      <rPr>
        <b val="true"/>
        <sz val="10"/>
        <color rgb="FF1F4D78"/>
        <rFont val="Arial"/>
        <family val="0"/>
        <charset val="1"/>
      </rPr>
      <t xml:space="preserve">  C1  </t>
    </r>
    <r>
      <rPr>
        <b val="true"/>
        <sz val="10"/>
        <color rgb="FF1F4D78"/>
        <rFont val="DejaVu Sans"/>
        <family val="2"/>
      </rPr>
      <t xml:space="preserve">保守型</t>
    </r>
  </si>
  <si>
    <t xml:space="preserve">C1_S1</t>
  </si>
  <si>
    <r>
      <rPr>
        <sz val="10"/>
        <color rgb="FF000000"/>
        <rFont val="Arial"/>
        <family val="0"/>
        <charset val="1"/>
      </rPr>
      <t xml:space="preserve">C1 </t>
    </r>
    <r>
      <rPr>
        <sz val="10"/>
        <color rgb="FF000000"/>
        <rFont val="DejaVu Sans"/>
        <family val="2"/>
      </rPr>
      <t xml:space="preserve">保守型</t>
    </r>
  </si>
  <si>
    <r>
      <rPr>
        <sz val="10"/>
        <color rgb="FF000000"/>
        <rFont val="Arial"/>
        <family val="0"/>
        <charset val="1"/>
      </rPr>
      <t xml:space="preserve">S1 </t>
    </r>
    <r>
      <rPr>
        <sz val="10"/>
        <color rgb="FF000000"/>
        <rFont val="DejaVu Sans"/>
        <family val="2"/>
      </rPr>
      <t xml:space="preserve">刚毕业</t>
    </r>
  </si>
  <si>
    <t xml:space="preserve">C1_S2</t>
  </si>
  <si>
    <r>
      <rPr>
        <sz val="10"/>
        <color rgb="FF000000"/>
        <rFont val="Arial"/>
        <family val="0"/>
        <charset val="1"/>
      </rPr>
      <t xml:space="preserve">S2 </t>
    </r>
    <r>
      <rPr>
        <sz val="10"/>
        <color rgb="FF000000"/>
        <rFont val="DejaVu Sans"/>
        <family val="2"/>
      </rPr>
      <t xml:space="preserve">单身青年</t>
    </r>
  </si>
  <si>
    <t xml:space="preserve">C1_S3</t>
  </si>
  <si>
    <r>
      <rPr>
        <sz val="10"/>
        <color rgb="FF000000"/>
        <rFont val="Arial"/>
        <family val="0"/>
        <charset val="1"/>
      </rPr>
      <t xml:space="preserve">S3 </t>
    </r>
    <r>
      <rPr>
        <sz val="10"/>
        <color rgb="FF000000"/>
        <rFont val="DejaVu Sans"/>
        <family val="2"/>
      </rPr>
      <t xml:space="preserve">二人世界</t>
    </r>
  </si>
  <si>
    <t xml:space="preserve">C1_S4</t>
  </si>
  <si>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DejaVu Sans"/>
        <family val="2"/>
      </rPr>
      <t xml:space="preserve">小孩学前</t>
    </r>
  </si>
  <si>
    <t xml:space="preserve">C1_S5</t>
  </si>
  <si>
    <r>
      <rPr>
        <sz val="10"/>
        <color rgb="FF000000"/>
        <rFont val="Arial"/>
        <family val="0"/>
        <charset val="1"/>
      </rPr>
      <t xml:space="preserve">S5 </t>
    </r>
    <r>
      <rPr>
        <sz val="10"/>
        <color rgb="FF000000"/>
        <rFont val="DejaVu Sans"/>
        <family val="2"/>
      </rPr>
      <t xml:space="preserve">小孩成年前</t>
    </r>
  </si>
  <si>
    <t xml:space="preserve">C1_S6</t>
  </si>
  <si>
    <r>
      <rPr>
        <sz val="10"/>
        <color rgb="FF000000"/>
        <rFont val="Arial"/>
        <family val="0"/>
        <charset val="1"/>
      </rPr>
      <t xml:space="preserve">S6 </t>
    </r>
    <r>
      <rPr>
        <sz val="10"/>
        <color rgb="FF000000"/>
        <rFont val="DejaVu Sans"/>
        <family val="2"/>
      </rPr>
      <t xml:space="preserve">子女成年</t>
    </r>
  </si>
  <si>
    <t xml:space="preserve">C1_S7</t>
  </si>
  <si>
    <r>
      <rPr>
        <sz val="10"/>
        <color rgb="FF000000"/>
        <rFont val="Arial"/>
        <family val="0"/>
        <charset val="1"/>
      </rPr>
      <t xml:space="preserve">S7 </t>
    </r>
    <r>
      <rPr>
        <sz val="10"/>
        <color rgb="FF000000"/>
        <rFont val="DejaVu Sans"/>
        <family val="2"/>
      </rPr>
      <t xml:space="preserve">退休</t>
    </r>
  </si>
  <si>
    <r>
      <rPr>
        <b val="true"/>
        <sz val="10"/>
        <color rgb="FF1F4D78"/>
        <rFont val="Arial"/>
        <family val="0"/>
        <charset val="1"/>
      </rPr>
      <t xml:space="preserve">  C2  </t>
    </r>
    <r>
      <rPr>
        <b val="true"/>
        <sz val="10"/>
        <color rgb="FF1F4D78"/>
        <rFont val="DejaVu Sans"/>
        <family val="2"/>
      </rPr>
      <t xml:space="preserve">稳健型</t>
    </r>
  </si>
  <si>
    <t xml:space="preserve">C2_S1</t>
  </si>
  <si>
    <r>
      <rPr>
        <sz val="10"/>
        <color rgb="FF000000"/>
        <rFont val="Arial"/>
        <family val="0"/>
        <charset val="1"/>
      </rPr>
      <t xml:space="preserve">C2 </t>
    </r>
    <r>
      <rPr>
        <sz val="10"/>
        <color rgb="FF000000"/>
        <rFont val="DejaVu Sans"/>
        <family val="2"/>
      </rPr>
      <t xml:space="preserve">稳健型</t>
    </r>
  </si>
  <si>
    <t xml:space="preserve">C2_S2</t>
  </si>
  <si>
    <t xml:space="preserve">C2_S3</t>
  </si>
  <si>
    <t xml:space="preserve">C2_S4</t>
  </si>
  <si>
    <t xml:space="preserve">C2_S5</t>
  </si>
  <si>
    <t xml:space="preserve">C2_S6</t>
  </si>
  <si>
    <t xml:space="preserve">C2_S7</t>
  </si>
  <si>
    <r>
      <rPr>
        <b val="true"/>
        <sz val="10"/>
        <color rgb="FF1F4D78"/>
        <rFont val="Arial"/>
        <family val="0"/>
        <charset val="1"/>
      </rPr>
      <t xml:space="preserve">  C3  </t>
    </r>
    <r>
      <rPr>
        <b val="true"/>
        <sz val="10"/>
        <color rgb="FF1F4D78"/>
        <rFont val="DejaVu Sans"/>
        <family val="2"/>
      </rPr>
      <t xml:space="preserve">平衡型</t>
    </r>
  </si>
  <si>
    <t xml:space="preserve">C3_S1</t>
  </si>
  <si>
    <r>
      <rPr>
        <sz val="10"/>
        <color rgb="FF000000"/>
        <rFont val="Arial"/>
        <family val="0"/>
        <charset val="1"/>
      </rPr>
      <t xml:space="preserve">C3 </t>
    </r>
    <r>
      <rPr>
        <sz val="10"/>
        <color rgb="FF000000"/>
        <rFont val="DejaVu Sans"/>
        <family val="2"/>
      </rPr>
      <t xml:space="preserve">平衡型</t>
    </r>
  </si>
  <si>
    <t xml:space="preserve">C3_S2</t>
  </si>
  <si>
    <t xml:space="preserve">C3_S3</t>
  </si>
  <si>
    <t xml:space="preserve">C3_S4</t>
  </si>
  <si>
    <t xml:space="preserve">C3_S5</t>
  </si>
  <si>
    <t xml:space="preserve">C3_S6</t>
  </si>
  <si>
    <t xml:space="preserve">C3_S7</t>
  </si>
  <si>
    <r>
      <rPr>
        <b val="true"/>
        <sz val="10"/>
        <color rgb="FF1F4D78"/>
        <rFont val="Arial"/>
        <family val="0"/>
        <charset val="1"/>
      </rPr>
      <t xml:space="preserve">  C4  </t>
    </r>
    <r>
      <rPr>
        <b val="true"/>
        <sz val="10"/>
        <color rgb="FF1F4D78"/>
        <rFont val="DejaVu Sans"/>
        <family val="2"/>
      </rPr>
      <t xml:space="preserve">进取型</t>
    </r>
  </si>
  <si>
    <t xml:space="preserve">C4_S1</t>
  </si>
  <si>
    <r>
      <rPr>
        <sz val="10"/>
        <color rgb="FF000000"/>
        <rFont val="Arial"/>
        <family val="0"/>
        <charset val="1"/>
      </rPr>
      <t xml:space="preserve">C4 </t>
    </r>
    <r>
      <rPr>
        <sz val="10"/>
        <color rgb="FF000000"/>
        <rFont val="DejaVu Sans"/>
        <family val="2"/>
      </rPr>
      <t xml:space="preserve">进取型</t>
    </r>
  </si>
  <si>
    <t xml:space="preserve">C4_S2</t>
  </si>
  <si>
    <t xml:space="preserve">C4_S3</t>
  </si>
  <si>
    <t xml:space="preserve">C4_S4</t>
  </si>
  <si>
    <t xml:space="preserve">C4_S5</t>
  </si>
  <si>
    <t xml:space="preserve">C4_S6</t>
  </si>
  <si>
    <t xml:space="preserve">C4_S7</t>
  </si>
  <si>
    <r>
      <rPr>
        <b val="true"/>
        <sz val="10"/>
        <color rgb="FF1F4D78"/>
        <rFont val="Arial"/>
        <family val="0"/>
        <charset val="1"/>
      </rPr>
      <t xml:space="preserve">  C5  </t>
    </r>
    <r>
      <rPr>
        <b val="true"/>
        <sz val="10"/>
        <color rgb="FF1F4D78"/>
        <rFont val="DejaVu Sans"/>
        <family val="2"/>
      </rPr>
      <t xml:space="preserve">激进型</t>
    </r>
  </si>
  <si>
    <t xml:space="preserve">C5_S1</t>
  </si>
  <si>
    <r>
      <rPr>
        <sz val="10"/>
        <color rgb="FF000000"/>
        <rFont val="Arial"/>
        <family val="0"/>
        <charset val="1"/>
      </rPr>
      <t xml:space="preserve">C5 </t>
    </r>
    <r>
      <rPr>
        <sz val="10"/>
        <color rgb="FF000000"/>
        <rFont val="DejaVu Sans"/>
        <family val="2"/>
      </rPr>
      <t xml:space="preserve">激进型</t>
    </r>
  </si>
  <si>
    <t xml:space="preserve">C5_S2</t>
  </si>
  <si>
    <t xml:space="preserve">C5_S3</t>
  </si>
  <si>
    <t xml:space="preserve">C5_S4</t>
  </si>
  <si>
    <t xml:space="preserve">C5_S5</t>
  </si>
  <si>
    <t xml:space="preserve">C5_S6</t>
  </si>
  <si>
    <t xml:space="preserve">C5_S7</t>
  </si>
  <si>
    <r>
      <rPr>
        <b val="true"/>
        <sz val="13"/>
        <color rgb="FFFFFFFF"/>
        <rFont val="DejaVu Sans"/>
        <family val="2"/>
      </rPr>
      <t xml:space="preserve">智能投顾 </t>
    </r>
    <r>
      <rPr>
        <b val="true"/>
        <sz val="13"/>
        <color rgb="FFFFFFFF"/>
        <rFont val="Arial"/>
        <family val="0"/>
        <charset val="1"/>
      </rPr>
      <t xml:space="preserve">3.0 — </t>
    </r>
    <r>
      <rPr>
        <b val="true"/>
        <sz val="13"/>
        <color rgb="FFFFFFFF"/>
        <rFont val="DejaVu Sans"/>
        <family val="2"/>
      </rPr>
      <t xml:space="preserve">配置权重矩阵（按资产类）</t>
    </r>
  </si>
  <si>
    <r>
      <rPr>
        <b val="true"/>
        <sz val="11"/>
        <color rgb="FFFFFFFF"/>
        <rFont val="Arial"/>
        <family val="0"/>
        <charset val="1"/>
      </rPr>
      <t xml:space="preserve">CASH  </t>
    </r>
    <r>
      <rPr>
        <b val="true"/>
        <sz val="11"/>
        <color rgb="FFFFFFFF"/>
        <rFont val="DejaVu Sans"/>
        <family val="2"/>
      </rPr>
      <t xml:space="preserve">配置权重矩阵</t>
    </r>
  </si>
  <si>
    <r>
      <rPr>
        <b val="true"/>
        <sz val="10"/>
        <color rgb="FFFFFFFF"/>
        <rFont val="DejaVu Sans"/>
        <family val="2"/>
      </rPr>
      <t xml:space="preserve">风险等级 ↓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DejaVu Sans"/>
        <family val="2"/>
      </rPr>
      <t xml:space="preserve">生命周期 →</t>
    </r>
  </si>
  <si>
    <r>
      <rPr>
        <b val="true"/>
        <sz val="10"/>
        <color rgb="FFFFFFFF"/>
        <rFont val="Arial"/>
        <family val="0"/>
        <charset val="1"/>
      </rPr>
      <t xml:space="preserve">S1
</t>
    </r>
    <r>
      <rPr>
        <b val="true"/>
        <sz val="10"/>
        <color rgb="FFFFFFFF"/>
        <rFont val="DejaVu Sans"/>
        <family val="2"/>
      </rPr>
      <t xml:space="preserve">刚毕业</t>
    </r>
  </si>
  <si>
    <r>
      <rPr>
        <b val="true"/>
        <sz val="10"/>
        <color rgb="FFFFFFFF"/>
        <rFont val="Arial"/>
        <family val="0"/>
        <charset val="1"/>
      </rPr>
      <t xml:space="preserve">S2
</t>
    </r>
    <r>
      <rPr>
        <b val="true"/>
        <sz val="10"/>
        <color rgb="FFFFFFFF"/>
        <rFont val="DejaVu Sans"/>
        <family val="2"/>
      </rPr>
      <t xml:space="preserve">单身青年</t>
    </r>
  </si>
  <si>
    <r>
      <rPr>
        <b val="true"/>
        <sz val="10"/>
        <color rgb="FFFFFFFF"/>
        <rFont val="Arial"/>
        <family val="0"/>
        <charset val="1"/>
      </rPr>
      <t xml:space="preserve">S3
</t>
    </r>
    <r>
      <rPr>
        <b val="true"/>
        <sz val="10"/>
        <color rgb="FFFFFFFF"/>
        <rFont val="DejaVu Sans"/>
        <family val="2"/>
      </rPr>
      <t xml:space="preserve">二人世界</t>
    </r>
  </si>
  <si>
    <r>
      <rPr>
        <b val="true"/>
        <sz val="10"/>
        <color rgb="FFFFFFFF"/>
        <rFont val="Arial"/>
        <family val="0"/>
        <charset val="1"/>
      </rPr>
      <t xml:space="preserve">S4
</t>
    </r>
    <r>
      <rPr>
        <b val="true"/>
        <sz val="10"/>
        <color rgb="FFFFFFFF"/>
        <rFont val="DejaVu Sans"/>
        <family val="2"/>
      </rPr>
      <t xml:space="preserve">小孩学前</t>
    </r>
  </si>
  <si>
    <r>
      <rPr>
        <b val="true"/>
        <sz val="10"/>
        <color rgb="FFFFFFFF"/>
        <rFont val="Arial"/>
        <family val="0"/>
        <charset val="1"/>
      </rPr>
      <t xml:space="preserve">S5
</t>
    </r>
    <r>
      <rPr>
        <b val="true"/>
        <sz val="10"/>
        <color rgb="FFFFFFFF"/>
        <rFont val="DejaVu Sans"/>
        <family val="2"/>
      </rPr>
      <t xml:space="preserve">小孩成年前</t>
    </r>
  </si>
  <si>
    <r>
      <rPr>
        <b val="true"/>
        <sz val="10"/>
        <color rgb="FFFFFFFF"/>
        <rFont val="Arial"/>
        <family val="0"/>
        <charset val="1"/>
      </rPr>
      <t xml:space="preserve">S6
</t>
    </r>
    <r>
      <rPr>
        <b val="true"/>
        <sz val="10"/>
        <color rgb="FFFFFFFF"/>
        <rFont val="DejaVu Sans"/>
        <family val="2"/>
      </rPr>
      <t xml:space="preserve">子女成年</t>
    </r>
  </si>
  <si>
    <r>
      <rPr>
        <b val="true"/>
        <sz val="10"/>
        <color rgb="FFFFFFFF"/>
        <rFont val="Arial"/>
        <family val="0"/>
        <charset val="1"/>
      </rPr>
      <t xml:space="preserve">S7
</t>
    </r>
    <r>
      <rPr>
        <b val="true"/>
        <sz val="10"/>
        <color rgb="FFFFFFFF"/>
        <rFont val="DejaVu Sans"/>
        <family val="2"/>
      </rPr>
      <t xml:space="preserve">退休</t>
    </r>
  </si>
  <si>
    <t xml:space="preserve">行均值</t>
  </si>
  <si>
    <r>
      <rPr>
        <b val="true"/>
        <sz val="10"/>
        <color rgb="FF1F4D78"/>
        <rFont val="Arial"/>
        <family val="0"/>
        <charset val="1"/>
      </rPr>
      <t xml:space="preserve">C1  </t>
    </r>
    <r>
      <rPr>
        <b val="true"/>
        <sz val="10"/>
        <color rgb="FF1F4D78"/>
        <rFont val="DejaVu Sans"/>
        <family val="2"/>
      </rPr>
      <t xml:space="preserve">保守型</t>
    </r>
  </si>
  <si>
    <r>
      <rPr>
        <b val="true"/>
        <sz val="10"/>
        <color rgb="FF1F4D78"/>
        <rFont val="Arial"/>
        <family val="0"/>
        <charset val="1"/>
      </rPr>
      <t xml:space="preserve">C2  </t>
    </r>
    <r>
      <rPr>
        <b val="true"/>
        <sz val="10"/>
        <color rgb="FF1F4D78"/>
        <rFont val="DejaVu Sans"/>
        <family val="2"/>
      </rPr>
      <t xml:space="preserve">稳健型</t>
    </r>
  </si>
  <si>
    <r>
      <rPr>
        <b val="true"/>
        <sz val="10"/>
        <color rgb="FF1F4D78"/>
        <rFont val="Arial"/>
        <family val="0"/>
        <charset val="1"/>
      </rPr>
      <t xml:space="preserve">C3  </t>
    </r>
    <r>
      <rPr>
        <b val="true"/>
        <sz val="10"/>
        <color rgb="FF1F4D78"/>
        <rFont val="DejaVu Sans"/>
        <family val="2"/>
      </rPr>
      <t xml:space="preserve">平衡型</t>
    </r>
  </si>
  <si>
    <r>
      <rPr>
        <b val="true"/>
        <sz val="10"/>
        <color rgb="FF1F4D78"/>
        <rFont val="Arial"/>
        <family val="0"/>
        <charset val="1"/>
      </rPr>
      <t xml:space="preserve">C4  </t>
    </r>
    <r>
      <rPr>
        <b val="true"/>
        <sz val="10"/>
        <color rgb="FF1F4D78"/>
        <rFont val="DejaVu Sans"/>
        <family val="2"/>
      </rPr>
      <t xml:space="preserve">进取型</t>
    </r>
  </si>
  <si>
    <r>
      <rPr>
        <b val="true"/>
        <sz val="10"/>
        <color rgb="FF1F4D78"/>
        <rFont val="Arial"/>
        <family val="0"/>
        <charset val="1"/>
      </rPr>
      <t xml:space="preserve">C5  </t>
    </r>
    <r>
      <rPr>
        <b val="true"/>
        <sz val="10"/>
        <color rgb="FF1F4D78"/>
        <rFont val="DejaVu Sans"/>
        <family val="2"/>
      </rPr>
      <t xml:space="preserve">激进型</t>
    </r>
  </si>
  <si>
    <t xml:space="preserve">列均值</t>
  </si>
  <si>
    <r>
      <rPr>
        <b val="true"/>
        <sz val="11"/>
        <color rgb="FFFFFFFF"/>
        <rFont val="Arial"/>
        <family val="0"/>
        <charset val="1"/>
      </rPr>
      <t xml:space="preserve">BOND  </t>
    </r>
    <r>
      <rPr>
        <b val="true"/>
        <sz val="11"/>
        <color rgb="FFFFFFFF"/>
        <rFont val="DejaVu Sans"/>
        <family val="2"/>
      </rPr>
      <t xml:space="preserve">配置权重矩阵</t>
    </r>
  </si>
  <si>
    <r>
      <rPr>
        <b val="true"/>
        <sz val="11"/>
        <color rgb="FFFFFFFF"/>
        <rFont val="Arial"/>
        <family val="0"/>
        <charset val="1"/>
      </rPr>
      <t xml:space="preserve">EQUITY  </t>
    </r>
    <r>
      <rPr>
        <b val="true"/>
        <sz val="11"/>
        <color rgb="FFFFFFFF"/>
        <rFont val="DejaVu Sans"/>
        <family val="2"/>
      </rPr>
      <t xml:space="preserve">配置权重矩阵</t>
    </r>
  </si>
  <si>
    <r>
      <rPr>
        <b val="true"/>
        <sz val="11"/>
        <color rgb="FFFFFFFF"/>
        <rFont val="Arial"/>
        <family val="0"/>
        <charset val="1"/>
      </rPr>
      <t xml:space="preserve">ALT  </t>
    </r>
    <r>
      <rPr>
        <b val="true"/>
        <sz val="11"/>
        <color rgb="FFFFFFFF"/>
        <rFont val="DejaVu Sans"/>
        <family val="2"/>
      </rPr>
      <t xml:space="preserve">配置权重矩阵</t>
    </r>
  </si>
  <si>
    <r>
      <rPr>
        <b val="true"/>
        <sz val="13"/>
        <color rgb="FFFFFFFF"/>
        <rFont val="Arial"/>
        <family val="0"/>
        <charset val="1"/>
      </rPr>
      <t xml:space="preserve">420_static — </t>
    </r>
    <r>
      <rPr>
        <b val="true"/>
        <sz val="13"/>
        <color rgb="FFFFFFFF"/>
        <rFont val="DejaVu Sans"/>
        <family val="2"/>
      </rPr>
      <t xml:space="preserve">配置权重矩阵（按资产类）</t>
    </r>
  </si>
  <si>
    <r>
      <rPr>
        <b val="true"/>
        <sz val="13"/>
        <color rgb="FFFFFFFF"/>
        <rFont val="Arial"/>
        <family val="0"/>
        <charset val="1"/>
      </rPr>
      <t xml:space="preserve">Δ </t>
    </r>
    <r>
      <rPr>
        <b val="true"/>
        <sz val="13"/>
        <color rgb="FFFFFFFF"/>
        <rFont val="DejaVu Sans"/>
        <family val="2"/>
      </rPr>
      <t xml:space="preserve">权重差值矩阵（智能投顾 </t>
    </r>
    <r>
      <rPr>
        <b val="true"/>
        <sz val="13"/>
        <color rgb="FFFFFFFF"/>
        <rFont val="Arial"/>
        <family val="0"/>
        <charset val="1"/>
      </rPr>
      <t xml:space="preserve">3.0 − 420_static</t>
    </r>
    <r>
      <rPr>
        <b val="true"/>
        <sz val="13"/>
        <color rgb="FFFFFFFF"/>
        <rFont val="DejaVu Sans"/>
        <family val="2"/>
      </rPr>
      <t xml:space="preserve">），正值代表 </t>
    </r>
    <r>
      <rPr>
        <b val="true"/>
        <sz val="13"/>
        <color rgb="FFFFFFFF"/>
        <rFont val="Arial"/>
        <family val="0"/>
        <charset val="1"/>
      </rPr>
      <t xml:space="preserve">3.0 </t>
    </r>
    <r>
      <rPr>
        <b val="true"/>
        <sz val="13"/>
        <color rgb="FFFFFFFF"/>
        <rFont val="DejaVu Sans"/>
        <family val="2"/>
      </rPr>
      <t xml:space="preserve">配置更高</t>
    </r>
  </si>
  <si>
    <r>
      <rPr>
        <b val="true"/>
        <sz val="11"/>
        <color rgb="FFFFFFFF"/>
        <rFont val="Arial"/>
        <family val="0"/>
        <charset val="1"/>
      </rPr>
      <t xml:space="preserve">Δ CASH  = 3.0</t>
    </r>
    <r>
      <rPr>
        <b val="true"/>
        <sz val="11"/>
        <color rgb="FFFFFFFF"/>
        <rFont val="DejaVu Sans"/>
        <family val="2"/>
      </rPr>
      <t xml:space="preserve">权重 − </t>
    </r>
    <r>
      <rPr>
        <b val="true"/>
        <sz val="11"/>
        <color rgb="FFFFFFFF"/>
        <rFont val="Arial"/>
        <family val="0"/>
        <charset val="1"/>
      </rPr>
      <t xml:space="preserve">420_static</t>
    </r>
    <r>
      <rPr>
        <b val="true"/>
        <sz val="11"/>
        <color rgb="FFFFFFFF"/>
        <rFont val="DejaVu Sans"/>
        <family val="2"/>
      </rPr>
      <t xml:space="preserve">权重</t>
    </r>
  </si>
  <si>
    <r>
      <rPr>
        <b val="true"/>
        <sz val="11"/>
        <color rgb="FFFFFFFF"/>
        <rFont val="Arial"/>
        <family val="0"/>
        <charset val="1"/>
      </rPr>
      <t xml:space="preserve">Δ BOND  = 3.0</t>
    </r>
    <r>
      <rPr>
        <b val="true"/>
        <sz val="11"/>
        <color rgb="FFFFFFFF"/>
        <rFont val="DejaVu Sans"/>
        <family val="2"/>
      </rPr>
      <t xml:space="preserve">权重 − </t>
    </r>
    <r>
      <rPr>
        <b val="true"/>
        <sz val="11"/>
        <color rgb="FFFFFFFF"/>
        <rFont val="Arial"/>
        <family val="0"/>
        <charset val="1"/>
      </rPr>
      <t xml:space="preserve">420_static</t>
    </r>
    <r>
      <rPr>
        <b val="true"/>
        <sz val="11"/>
        <color rgb="FFFFFFFF"/>
        <rFont val="DejaVu Sans"/>
        <family val="2"/>
      </rPr>
      <t xml:space="preserve">权重</t>
    </r>
  </si>
  <si>
    <r>
      <rPr>
        <b val="true"/>
        <sz val="11"/>
        <color rgb="FFFFFFFF"/>
        <rFont val="Arial"/>
        <family val="0"/>
        <charset val="1"/>
      </rPr>
      <t xml:space="preserve">Δ EQUITY  = 3.0</t>
    </r>
    <r>
      <rPr>
        <b val="true"/>
        <sz val="11"/>
        <color rgb="FFFFFFFF"/>
        <rFont val="DejaVu Sans"/>
        <family val="2"/>
      </rPr>
      <t xml:space="preserve">权重 − </t>
    </r>
    <r>
      <rPr>
        <b val="true"/>
        <sz val="11"/>
        <color rgb="FFFFFFFF"/>
        <rFont val="Arial"/>
        <family val="0"/>
        <charset val="1"/>
      </rPr>
      <t xml:space="preserve">420_static</t>
    </r>
    <r>
      <rPr>
        <b val="true"/>
        <sz val="11"/>
        <color rgb="FFFFFFFF"/>
        <rFont val="DejaVu Sans"/>
        <family val="2"/>
      </rPr>
      <t xml:space="preserve">权重</t>
    </r>
  </si>
  <si>
    <r>
      <rPr>
        <b val="true"/>
        <sz val="11"/>
        <color rgb="FFFFFFFF"/>
        <rFont val="Arial"/>
        <family val="0"/>
        <charset val="1"/>
      </rPr>
      <t xml:space="preserve">Δ ALT  = 3.0</t>
    </r>
    <r>
      <rPr>
        <b val="true"/>
        <sz val="11"/>
        <color rgb="FFFFFFFF"/>
        <rFont val="DejaVu Sans"/>
        <family val="2"/>
      </rPr>
      <t xml:space="preserve">权重 − </t>
    </r>
    <r>
      <rPr>
        <b val="true"/>
        <sz val="11"/>
        <color rgb="FFFFFFFF"/>
        <rFont val="Arial"/>
        <family val="0"/>
        <charset val="1"/>
      </rPr>
      <t xml:space="preserve">420_static</t>
    </r>
    <r>
      <rPr>
        <b val="true"/>
        <sz val="11"/>
        <color rgb="FFFFFFFF"/>
        <rFont val="DejaVu Sans"/>
        <family val="2"/>
      </rPr>
      <t xml:space="preserve">权重</t>
    </r>
  </si>
  <si>
    <r>
      <rPr>
        <b val="true"/>
        <sz val="13"/>
        <color rgb="FFFFFFFF"/>
        <rFont val="DejaVu Sans"/>
        <family val="2"/>
      </rPr>
      <t xml:space="preserve">风险锚参数表（共 </t>
    </r>
    <r>
      <rPr>
        <b val="true"/>
        <sz val="13"/>
        <color rgb="FFFFFFFF"/>
        <rFont val="Arial"/>
        <family val="0"/>
        <charset val="1"/>
      </rPr>
      <t xml:space="preserve">35 </t>
    </r>
    <r>
      <rPr>
        <b val="true"/>
        <sz val="13"/>
        <color rgb="FFFFFFFF"/>
        <rFont val="DejaVu Sans"/>
        <family val="2"/>
      </rPr>
      <t xml:space="preserve">个客户画像）</t>
    </r>
  </si>
  <si>
    <r>
      <rPr>
        <b val="true"/>
        <sz val="10"/>
        <color rgb="FFFFFFFF"/>
        <rFont val="Arial"/>
        <family val="0"/>
        <charset val="1"/>
      </rPr>
      <t xml:space="preserve">σ_min</t>
    </r>
    <r>
      <rPr>
        <b val="true"/>
        <sz val="10"/>
        <color rgb="FFFFFFFF"/>
        <rFont val="DejaVu Sans"/>
        <family val="2"/>
      </rPr>
      <t xml:space="preserve">（下限）</t>
    </r>
  </si>
  <si>
    <r>
      <rPr>
        <b val="true"/>
        <sz val="10"/>
        <color rgb="FFFFFFFF"/>
        <rFont val="Arial"/>
        <family val="0"/>
        <charset val="1"/>
      </rPr>
      <t xml:space="preserve">σ_mid</t>
    </r>
    <r>
      <rPr>
        <b val="true"/>
        <sz val="10"/>
        <color rgb="FFFFFFFF"/>
        <rFont val="DejaVu Sans"/>
        <family val="2"/>
      </rPr>
      <t xml:space="preserve">（中枢）</t>
    </r>
  </si>
  <si>
    <r>
      <rPr>
        <b val="true"/>
        <sz val="10"/>
        <color rgb="FFFFFFFF"/>
        <rFont val="Arial"/>
        <family val="0"/>
        <charset val="1"/>
      </rPr>
      <t xml:space="preserve">σ_max</t>
    </r>
    <r>
      <rPr>
        <b val="true"/>
        <sz val="10"/>
        <color rgb="FFFFFFFF"/>
        <rFont val="DejaVu Sans"/>
        <family val="2"/>
      </rPr>
      <t xml:space="preserve">（上限）</t>
    </r>
  </si>
  <si>
    <r>
      <rPr>
        <b val="true"/>
        <sz val="10"/>
        <color rgb="FFFFFFFF"/>
        <rFont val="Arial"/>
        <family val="0"/>
        <charset val="1"/>
      </rPr>
      <t xml:space="preserve">MaxDD</t>
    </r>
    <r>
      <rPr>
        <b val="true"/>
        <sz val="10"/>
        <color rgb="FFFFFFFF"/>
        <rFont val="DejaVu Sans"/>
        <family val="2"/>
      </rPr>
      <t xml:space="preserve">（红线）</t>
    </r>
  </si>
  <si>
    <r>
      <rPr>
        <b val="true"/>
        <sz val="10"/>
        <color rgb="FFFFFFFF"/>
        <rFont val="Arial"/>
        <family val="0"/>
        <charset val="1"/>
      </rPr>
      <t xml:space="preserve">σ_cap</t>
    </r>
    <r>
      <rPr>
        <b val="true"/>
        <sz val="10"/>
        <color rgb="FFFFFFFF"/>
        <rFont val="DejaVu Sans"/>
        <family val="2"/>
      </rPr>
      <t xml:space="preserve">（</t>
    </r>
    <r>
      <rPr>
        <b val="true"/>
        <sz val="10"/>
        <color rgb="FFFFFFFF"/>
        <rFont val="Arial"/>
        <family val="0"/>
        <charset val="1"/>
      </rPr>
      <t xml:space="preserve">= σ_max</t>
    </r>
    <r>
      <rPr>
        <b val="true"/>
        <sz val="10"/>
        <color rgb="FFFFFFFF"/>
        <rFont val="DejaVu Sans"/>
        <family val="2"/>
      </rPr>
      <t xml:space="preserve">）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</si>
</sst>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"/>
    <numFmt numFmtId="166" formatCode="\+0.0%;\-0.0%;0.0%"/>
    <numFmt numFmtId="167" formatCode="0%"/>
    <numFmt numFmtId="168" formatCode="\+0%;\-0%;0%"/>
    <numFmt numFmtId="169" formatCode="0%;\-0%;0%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DejaVu Sans"/>
      <family val="2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9"/>
      <color rgb="FF595959"/>
      <name val="DejaVu Sans"/>
      <family val="2"/>
    </font>
    <font>
      <b val="true"/>
      <sz val="10"/>
      <color rgb="FFFFFFFF"/>
      <name val="DejaVu Sans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1F4D78"/>
      <name val="DejaVu Sans"/>
      <family val="2"/>
    </font>
    <font>
      <b val="true"/>
      <sz val="10"/>
      <color rgb="FF1F4D78"/>
      <name val="Arial"/>
      <family val="0"/>
      <charset val="1"/>
    </font>
    <font>
      <b val="true"/>
      <sz val="10"/>
      <color rgb="FF595959"/>
      <name val="DejaVu Sans"/>
      <family val="2"/>
    </font>
    <font>
      <b val="true"/>
      <sz val="10"/>
      <color rgb="FF595959"/>
      <name val="Arial"/>
      <family val="0"/>
      <charset val="1"/>
    </font>
    <font>
      <sz val="10"/>
      <color rgb="FF1F4D78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00"/>
      <name val="DejaVu Sans"/>
      <family val="2"/>
    </font>
    <font>
      <b val="true"/>
      <sz val="13"/>
      <color rgb="FFFFFFFF"/>
      <name val="DejaVu Sans"/>
      <family val="2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DejaVu Sans"/>
      <family val="2"/>
    </font>
    <font>
      <b val="true"/>
      <sz val="10"/>
      <color rgb="FF000000"/>
      <name val="Arial"/>
      <family val="0"/>
      <charset val="1"/>
    </font>
    <font>
      <sz val="10"/>
      <color rgb="FF9C0006"/>
      <name val="Arial"/>
      <family val="0"/>
      <charset val="1"/>
    </font>
    <font>
      <sz val="10"/>
      <color rgb="FF006100"/>
      <name val="Arial"/>
      <family val="0"/>
      <charset val="1"/>
    </font>
    <font>
      <sz val="10"/>
      <color rgb="FF595959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D78"/>
        <bgColor rgb="FF003366"/>
      </patternFill>
    </fill>
    <fill>
      <patternFill patternType="solid">
        <fgColor rgb="FFE2EFDA"/>
        <bgColor rgb="FFEAF0F8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EEF2F7"/>
      </patternFill>
    </fill>
    <fill>
      <patternFill patternType="solid">
        <fgColor rgb="FFEEF2F7"/>
        <bgColor rgb="FFEAF0F8"/>
      </patternFill>
    </fill>
    <fill>
      <patternFill patternType="solid">
        <fgColor rgb="FFF5F9FF"/>
        <bgColor rgb="FFF5F5F5"/>
      </patternFill>
    </fill>
    <fill>
      <patternFill patternType="solid">
        <fgColor rgb="FFD5E8F0"/>
        <bgColor rgb="FFE2EFDA"/>
      </patternFill>
    </fill>
    <fill>
      <patternFill patternType="solid">
        <fgColor rgb="FFC6EFCE"/>
        <bgColor rgb="FFD5E8F0"/>
      </patternFill>
    </fill>
    <fill>
      <patternFill patternType="solid">
        <fgColor rgb="FFEAF0F8"/>
        <bgColor rgb="FFEEF2F7"/>
      </patternFill>
    </fill>
    <fill>
      <patternFill patternType="solid">
        <fgColor rgb="FFF5F5F5"/>
        <bgColor rgb="FFF2F2F2"/>
      </patternFill>
    </fill>
    <fill>
      <patternFill patternType="solid">
        <fgColor rgb="FFFFEB9C"/>
        <bgColor rgb="FFFFF2CC"/>
      </patternFill>
    </fill>
    <fill>
      <patternFill patternType="solid">
        <fgColor rgb="FFFFCCCC"/>
        <bgColor rgb="FFFCE4D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2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4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5F5F5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5E8F0"/>
      <rgbColor rgb="FF660066"/>
      <rgbColor rgb="FFFF8080"/>
      <rgbColor rgb="FF0066CC"/>
      <rgbColor rgb="FFE2EFDA"/>
      <rgbColor rgb="FF000080"/>
      <rgbColor rgb="FFFF00FF"/>
      <rgbColor rgb="FFF5F9FF"/>
      <rgbColor rgb="FF00FFFF"/>
      <rgbColor rgb="FF800080"/>
      <rgbColor rgb="FF800000"/>
      <rgbColor rgb="FF008080"/>
      <rgbColor rgb="FF0000FF"/>
      <rgbColor rgb="FF00CCFF"/>
      <rgbColor rgb="FFEAF0F8"/>
      <rgbColor rgb="FFC6EFCE"/>
      <rgbColor rgb="FFFFEB9C"/>
      <rgbColor rgb="FFEEF2F7"/>
      <rgbColor rgb="FFFCE4D6"/>
      <rgbColor rgb="FFF2F2F2"/>
      <rgbColor rgb="FFFFCCCC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D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19" min="4" style="0" width="9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19.5" hidden="false" customHeight="true" outlineLevel="0" collapsed="false">
      <c r="A3" s="3" t="s">
        <v>2</v>
      </c>
      <c r="B3" s="3" t="s">
        <v>3</v>
      </c>
      <c r="C3" s="3" t="s">
        <v>4</v>
      </c>
      <c r="D3" s="4" t="s">
        <v>5</v>
      </c>
      <c r="E3" s="4"/>
      <c r="F3" s="4"/>
      <c r="G3" s="4"/>
      <c r="H3" s="4"/>
      <c r="I3" s="5" t="s">
        <v>6</v>
      </c>
      <c r="J3" s="5"/>
      <c r="K3" s="5"/>
      <c r="L3" s="5"/>
      <c r="M3" s="5"/>
      <c r="N3" s="6" t="s">
        <v>7</v>
      </c>
      <c r="O3" s="6"/>
      <c r="P3" s="6"/>
      <c r="Q3" s="6"/>
      <c r="R3" s="7" t="s">
        <v>8</v>
      </c>
      <c r="S3" s="7"/>
    </row>
    <row r="4" customFormat="false" ht="18" hidden="false" customHeight="true" outlineLevel="0" collapsed="false">
      <c r="A4" s="3"/>
      <c r="B4" s="3"/>
      <c r="C4" s="3"/>
      <c r="D4" s="8" t="s">
        <v>9</v>
      </c>
      <c r="E4" s="8" t="s">
        <v>10</v>
      </c>
      <c r="F4" s="8" t="s">
        <v>11</v>
      </c>
      <c r="G4" s="8" t="s">
        <v>12</v>
      </c>
      <c r="H4" s="9" t="s">
        <v>13</v>
      </c>
      <c r="I4" s="10" t="s">
        <v>9</v>
      </c>
      <c r="J4" s="10" t="s">
        <v>10</v>
      </c>
      <c r="K4" s="10" t="s">
        <v>11</v>
      </c>
      <c r="L4" s="10" t="s">
        <v>12</v>
      </c>
      <c r="M4" s="11" t="s">
        <v>13</v>
      </c>
      <c r="N4" s="12" t="s">
        <v>14</v>
      </c>
      <c r="O4" s="12" t="s">
        <v>15</v>
      </c>
      <c r="P4" s="12" t="s">
        <v>16</v>
      </c>
      <c r="Q4" s="12" t="s">
        <v>17</v>
      </c>
      <c r="R4" s="13" t="s">
        <v>18</v>
      </c>
      <c r="S4" s="13" t="s">
        <v>19</v>
      </c>
    </row>
    <row r="5" customFormat="false" ht="15.75" hidden="false" customHeight="true" outlineLevel="0" collapsed="false">
      <c r="A5" s="14" t="s">
        <v>20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</row>
    <row r="6" customFormat="false" ht="15.75" hidden="false" customHeight="true" outlineLevel="0" collapsed="false">
      <c r="A6" s="15" t="s">
        <v>21</v>
      </c>
      <c r="B6" s="16" t="s">
        <v>22</v>
      </c>
      <c r="C6" s="16" t="s">
        <v>23</v>
      </c>
      <c r="D6" s="17" t="n">
        <v>0.3</v>
      </c>
      <c r="E6" s="17" t="n">
        <v>0.7</v>
      </c>
      <c r="F6" s="18" t="n">
        <v>0</v>
      </c>
      <c r="G6" s="18" t="n">
        <v>0</v>
      </c>
      <c r="H6" s="17" t="n">
        <f aca="false">SUM(D6:G6)</f>
        <v>1</v>
      </c>
      <c r="I6" s="19" t="n">
        <v>0.6</v>
      </c>
      <c r="J6" s="19" t="n">
        <v>0.4</v>
      </c>
      <c r="K6" s="18" t="n">
        <v>0</v>
      </c>
      <c r="L6" s="18" t="n">
        <v>0</v>
      </c>
      <c r="M6" s="19" t="n">
        <f aca="false">SUM(I6:L6)</f>
        <v>1</v>
      </c>
      <c r="N6" s="20" t="n">
        <f aca="false">D6-I6</f>
        <v>-0.3</v>
      </c>
      <c r="O6" s="20" t="n">
        <f aca="false">E6-J6</f>
        <v>0.3</v>
      </c>
      <c r="P6" s="20" t="n">
        <f aca="false">F6-K6</f>
        <v>0</v>
      </c>
      <c r="Q6" s="20" t="n">
        <f aca="false">G6-L6</f>
        <v>0</v>
      </c>
      <c r="R6" s="21" t="n">
        <f aca="false">H6</f>
        <v>1</v>
      </c>
      <c r="S6" s="21" t="n">
        <f aca="false">M6</f>
        <v>1</v>
      </c>
    </row>
    <row r="7" customFormat="false" ht="15.75" hidden="false" customHeight="true" outlineLevel="0" collapsed="false">
      <c r="A7" s="22" t="s">
        <v>24</v>
      </c>
      <c r="B7" s="23" t="s">
        <v>22</v>
      </c>
      <c r="C7" s="23" t="s">
        <v>25</v>
      </c>
      <c r="D7" s="17" t="n">
        <v>0.7</v>
      </c>
      <c r="E7" s="17" t="n">
        <v>0.3</v>
      </c>
      <c r="F7" s="24" t="n">
        <v>0</v>
      </c>
      <c r="G7" s="24" t="n">
        <v>0</v>
      </c>
      <c r="H7" s="17" t="n">
        <f aca="false">SUM(D7:G7)</f>
        <v>1</v>
      </c>
      <c r="I7" s="19" t="n">
        <v>0.6</v>
      </c>
      <c r="J7" s="19" t="n">
        <v>0.4</v>
      </c>
      <c r="K7" s="24" t="n">
        <v>0</v>
      </c>
      <c r="L7" s="24" t="n">
        <v>0</v>
      </c>
      <c r="M7" s="19" t="n">
        <f aca="false">SUM(I7:L7)</f>
        <v>1</v>
      </c>
      <c r="N7" s="20" t="n">
        <f aca="false">D7-I7</f>
        <v>0.1</v>
      </c>
      <c r="O7" s="20" t="n">
        <f aca="false">E7-J7</f>
        <v>-0.1</v>
      </c>
      <c r="P7" s="20" t="n">
        <f aca="false">F7-K7</f>
        <v>0</v>
      </c>
      <c r="Q7" s="20" t="n">
        <f aca="false">G7-L7</f>
        <v>0</v>
      </c>
      <c r="R7" s="21" t="n">
        <f aca="false">H7</f>
        <v>1</v>
      </c>
      <c r="S7" s="21" t="n">
        <f aca="false">M7</f>
        <v>1</v>
      </c>
    </row>
    <row r="8" customFormat="false" ht="15.75" hidden="false" customHeight="true" outlineLevel="0" collapsed="false">
      <c r="A8" s="15" t="s">
        <v>26</v>
      </c>
      <c r="B8" s="16" t="s">
        <v>22</v>
      </c>
      <c r="C8" s="16" t="s">
        <v>27</v>
      </c>
      <c r="D8" s="17" t="n">
        <v>0.3</v>
      </c>
      <c r="E8" s="17" t="n">
        <v>0.7</v>
      </c>
      <c r="F8" s="18" t="n">
        <v>0</v>
      </c>
      <c r="G8" s="18" t="n">
        <v>0</v>
      </c>
      <c r="H8" s="17" t="n">
        <f aca="false">SUM(D8:G8)</f>
        <v>1</v>
      </c>
      <c r="I8" s="19" t="n">
        <v>0.6</v>
      </c>
      <c r="J8" s="19" t="n">
        <v>0.4</v>
      </c>
      <c r="K8" s="18" t="n">
        <v>0</v>
      </c>
      <c r="L8" s="18" t="n">
        <v>0</v>
      </c>
      <c r="M8" s="19" t="n">
        <f aca="false">SUM(I8:L8)</f>
        <v>1</v>
      </c>
      <c r="N8" s="20" t="n">
        <f aca="false">D8-I8</f>
        <v>-0.3</v>
      </c>
      <c r="O8" s="20" t="n">
        <f aca="false">E8-J8</f>
        <v>0.3</v>
      </c>
      <c r="P8" s="20" t="n">
        <f aca="false">F8-K8</f>
        <v>0</v>
      </c>
      <c r="Q8" s="20" t="n">
        <f aca="false">G8-L8</f>
        <v>0</v>
      </c>
      <c r="R8" s="21" t="n">
        <f aca="false">H8</f>
        <v>1</v>
      </c>
      <c r="S8" s="21" t="n">
        <f aca="false">M8</f>
        <v>1</v>
      </c>
    </row>
    <row r="9" customFormat="false" ht="15.75" hidden="false" customHeight="true" outlineLevel="0" collapsed="false">
      <c r="A9" s="22" t="s">
        <v>28</v>
      </c>
      <c r="B9" s="23" t="s">
        <v>22</v>
      </c>
      <c r="C9" s="23" t="s">
        <v>29</v>
      </c>
      <c r="D9" s="17" t="n">
        <v>0.4</v>
      </c>
      <c r="E9" s="17" t="n">
        <v>0.6</v>
      </c>
      <c r="F9" s="24" t="n">
        <v>0</v>
      </c>
      <c r="G9" s="24" t="n">
        <v>0</v>
      </c>
      <c r="H9" s="17" t="n">
        <f aca="false">SUM(D9:G9)</f>
        <v>1</v>
      </c>
      <c r="I9" s="19" t="n">
        <v>0.65</v>
      </c>
      <c r="J9" s="19" t="n">
        <v>0.35</v>
      </c>
      <c r="K9" s="24" t="n">
        <v>0</v>
      </c>
      <c r="L9" s="24" t="n">
        <v>0</v>
      </c>
      <c r="M9" s="19" t="n">
        <f aca="false">SUM(I9:L9)</f>
        <v>1</v>
      </c>
      <c r="N9" s="20" t="n">
        <f aca="false">D9-I9</f>
        <v>-0.25</v>
      </c>
      <c r="O9" s="20" t="n">
        <f aca="false">E9-J9</f>
        <v>0.25</v>
      </c>
      <c r="P9" s="20" t="n">
        <f aca="false">F9-K9</f>
        <v>0</v>
      </c>
      <c r="Q9" s="20" t="n">
        <f aca="false">G9-L9</f>
        <v>0</v>
      </c>
      <c r="R9" s="21" t="n">
        <f aca="false">H9</f>
        <v>1</v>
      </c>
      <c r="S9" s="21" t="n">
        <f aca="false">M9</f>
        <v>1</v>
      </c>
    </row>
    <row r="10" customFormat="false" ht="15.75" hidden="false" customHeight="true" outlineLevel="0" collapsed="false">
      <c r="A10" s="15" t="s">
        <v>30</v>
      </c>
      <c r="B10" s="16" t="s">
        <v>22</v>
      </c>
      <c r="C10" s="16" t="s">
        <v>31</v>
      </c>
      <c r="D10" s="17" t="n">
        <v>0.7</v>
      </c>
      <c r="E10" s="17" t="n">
        <v>0.3</v>
      </c>
      <c r="F10" s="18" t="n">
        <v>0</v>
      </c>
      <c r="G10" s="18" t="n">
        <v>0</v>
      </c>
      <c r="H10" s="17" t="n">
        <f aca="false">SUM(D10:G10)</f>
        <v>1</v>
      </c>
      <c r="I10" s="19" t="n">
        <v>0.65</v>
      </c>
      <c r="J10" s="19" t="n">
        <v>0.35</v>
      </c>
      <c r="K10" s="18" t="n">
        <v>0</v>
      </c>
      <c r="L10" s="18" t="n">
        <v>0</v>
      </c>
      <c r="M10" s="19" t="n">
        <f aca="false">SUM(I10:L10)</f>
        <v>1</v>
      </c>
      <c r="N10" s="20" t="n">
        <f aca="false">D10-I10</f>
        <v>0.0499999999999999</v>
      </c>
      <c r="O10" s="20" t="n">
        <f aca="false">E10-J10</f>
        <v>-0.05</v>
      </c>
      <c r="P10" s="20" t="n">
        <f aca="false">F10-K10</f>
        <v>0</v>
      </c>
      <c r="Q10" s="20" t="n">
        <f aca="false">G10-L10</f>
        <v>0</v>
      </c>
      <c r="R10" s="21" t="n">
        <f aca="false">H10</f>
        <v>1</v>
      </c>
      <c r="S10" s="21" t="n">
        <f aca="false">M10</f>
        <v>1</v>
      </c>
    </row>
    <row r="11" customFormat="false" ht="15.75" hidden="false" customHeight="true" outlineLevel="0" collapsed="false">
      <c r="A11" s="22" t="s">
        <v>32</v>
      </c>
      <c r="B11" s="23" t="s">
        <v>22</v>
      </c>
      <c r="C11" s="23" t="s">
        <v>33</v>
      </c>
      <c r="D11" s="17" t="n">
        <v>0.7</v>
      </c>
      <c r="E11" s="17" t="n">
        <v>0.3</v>
      </c>
      <c r="F11" s="24" t="n">
        <v>0</v>
      </c>
      <c r="G11" s="24" t="n">
        <v>0</v>
      </c>
      <c r="H11" s="17" t="n">
        <f aca="false">SUM(D11:G11)</f>
        <v>1</v>
      </c>
      <c r="I11" s="19" t="n">
        <v>0.7</v>
      </c>
      <c r="J11" s="19" t="n">
        <v>0.3</v>
      </c>
      <c r="K11" s="24" t="n">
        <v>0</v>
      </c>
      <c r="L11" s="24" t="n">
        <v>0</v>
      </c>
      <c r="M11" s="19" t="n">
        <f aca="false">SUM(I11:L11)</f>
        <v>1</v>
      </c>
      <c r="N11" s="20" t="n">
        <f aca="false">D11-I11</f>
        <v>0</v>
      </c>
      <c r="O11" s="20" t="n">
        <f aca="false">E11-J11</f>
        <v>0</v>
      </c>
      <c r="P11" s="20" t="n">
        <f aca="false">F11-K11</f>
        <v>0</v>
      </c>
      <c r="Q11" s="20" t="n">
        <f aca="false">G11-L11</f>
        <v>0</v>
      </c>
      <c r="R11" s="21" t="n">
        <f aca="false">H11</f>
        <v>1</v>
      </c>
      <c r="S11" s="21" t="n">
        <f aca="false">M11</f>
        <v>1</v>
      </c>
    </row>
    <row r="12" customFormat="false" ht="15.75" hidden="false" customHeight="true" outlineLevel="0" collapsed="false">
      <c r="A12" s="15" t="s">
        <v>34</v>
      </c>
      <c r="B12" s="16" t="s">
        <v>22</v>
      </c>
      <c r="C12" s="16" t="s">
        <v>35</v>
      </c>
      <c r="D12" s="17" t="n">
        <v>0.6</v>
      </c>
      <c r="E12" s="17" t="n">
        <v>0.4</v>
      </c>
      <c r="F12" s="18" t="n">
        <v>0</v>
      </c>
      <c r="G12" s="18" t="n">
        <v>0</v>
      </c>
      <c r="H12" s="17" t="n">
        <f aca="false">SUM(D12:G12)</f>
        <v>1</v>
      </c>
      <c r="I12" s="19" t="n">
        <v>0.7</v>
      </c>
      <c r="J12" s="19" t="n">
        <v>0.3</v>
      </c>
      <c r="K12" s="18" t="n">
        <v>0</v>
      </c>
      <c r="L12" s="18" t="n">
        <v>0</v>
      </c>
      <c r="M12" s="19" t="n">
        <f aca="false">SUM(I12:L12)</f>
        <v>1</v>
      </c>
      <c r="N12" s="20" t="n">
        <f aca="false">D12-I12</f>
        <v>-0.1</v>
      </c>
      <c r="O12" s="20" t="n">
        <f aca="false">E12-J12</f>
        <v>0.1</v>
      </c>
      <c r="P12" s="20" t="n">
        <f aca="false">F12-K12</f>
        <v>0</v>
      </c>
      <c r="Q12" s="20" t="n">
        <f aca="false">G12-L12</f>
        <v>0</v>
      </c>
      <c r="R12" s="21" t="n">
        <f aca="false">H12</f>
        <v>1</v>
      </c>
      <c r="S12" s="21" t="n">
        <f aca="false">M12</f>
        <v>1</v>
      </c>
    </row>
    <row r="13" customFormat="false" ht="15.75" hidden="false" customHeight="true" outlineLevel="0" collapsed="false">
      <c r="A13" s="14" t="s">
        <v>36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</row>
    <row r="14" customFormat="false" ht="15.75" hidden="false" customHeight="true" outlineLevel="0" collapsed="false">
      <c r="A14" s="15" t="s">
        <v>37</v>
      </c>
      <c r="B14" s="16" t="s">
        <v>38</v>
      </c>
      <c r="C14" s="16" t="s">
        <v>23</v>
      </c>
      <c r="D14" s="17" t="n">
        <v>0.15</v>
      </c>
      <c r="E14" s="17" t="n">
        <v>0.55</v>
      </c>
      <c r="F14" s="18" t="n">
        <v>0</v>
      </c>
      <c r="G14" s="17" t="n">
        <v>0.3</v>
      </c>
      <c r="H14" s="17" t="n">
        <f aca="false">SUM(D14:G14)</f>
        <v>1</v>
      </c>
      <c r="I14" s="19" t="n">
        <v>0.15</v>
      </c>
      <c r="J14" s="19" t="n">
        <v>0.75</v>
      </c>
      <c r="K14" s="18" t="n">
        <v>0</v>
      </c>
      <c r="L14" s="19" t="n">
        <v>0.1</v>
      </c>
      <c r="M14" s="19" t="n">
        <f aca="false">SUM(I14:L14)</f>
        <v>1</v>
      </c>
      <c r="N14" s="20" t="n">
        <f aca="false">D14-I14</f>
        <v>0</v>
      </c>
      <c r="O14" s="20" t="n">
        <f aca="false">E14-J14</f>
        <v>-0.2</v>
      </c>
      <c r="P14" s="20" t="n">
        <f aca="false">F14-K14</f>
        <v>0</v>
      </c>
      <c r="Q14" s="20" t="n">
        <f aca="false">G14-L14</f>
        <v>0.2</v>
      </c>
      <c r="R14" s="21" t="n">
        <f aca="false">H14</f>
        <v>1</v>
      </c>
      <c r="S14" s="21" t="n">
        <f aca="false">M14</f>
        <v>1</v>
      </c>
    </row>
    <row r="15" customFormat="false" ht="15.75" hidden="false" customHeight="true" outlineLevel="0" collapsed="false">
      <c r="A15" s="22" t="s">
        <v>39</v>
      </c>
      <c r="B15" s="23" t="s">
        <v>38</v>
      </c>
      <c r="C15" s="23" t="s">
        <v>25</v>
      </c>
      <c r="D15" s="17" t="n">
        <v>0.2</v>
      </c>
      <c r="E15" s="17" t="n">
        <v>0.4</v>
      </c>
      <c r="F15" s="24" t="n">
        <v>0</v>
      </c>
      <c r="G15" s="17" t="n">
        <v>0.4</v>
      </c>
      <c r="H15" s="17" t="n">
        <f aca="false">SUM(D15:G15)</f>
        <v>1</v>
      </c>
      <c r="I15" s="19" t="n">
        <v>0.15</v>
      </c>
      <c r="J15" s="19" t="n">
        <v>0.75</v>
      </c>
      <c r="K15" s="24" t="n">
        <v>0</v>
      </c>
      <c r="L15" s="19" t="n">
        <v>0.1</v>
      </c>
      <c r="M15" s="19" t="n">
        <f aca="false">SUM(I15:L15)</f>
        <v>1</v>
      </c>
      <c r="N15" s="20" t="n">
        <f aca="false">D15-I15</f>
        <v>0.05</v>
      </c>
      <c r="O15" s="20" t="n">
        <f aca="false">E15-J15</f>
        <v>-0.35</v>
      </c>
      <c r="P15" s="20" t="n">
        <f aca="false">F15-K15</f>
        <v>0</v>
      </c>
      <c r="Q15" s="20" t="n">
        <f aca="false">G15-L15</f>
        <v>0.3</v>
      </c>
      <c r="R15" s="21" t="n">
        <f aca="false">H15</f>
        <v>1</v>
      </c>
      <c r="S15" s="21" t="n">
        <f aca="false">M15</f>
        <v>1</v>
      </c>
    </row>
    <row r="16" customFormat="false" ht="15.75" hidden="false" customHeight="true" outlineLevel="0" collapsed="false">
      <c r="A16" s="15" t="s">
        <v>40</v>
      </c>
      <c r="B16" s="16" t="s">
        <v>38</v>
      </c>
      <c r="C16" s="16" t="s">
        <v>27</v>
      </c>
      <c r="D16" s="17" t="n">
        <v>0.15</v>
      </c>
      <c r="E16" s="17" t="n">
        <v>0.45</v>
      </c>
      <c r="F16" s="18" t="n">
        <v>0</v>
      </c>
      <c r="G16" s="17" t="n">
        <v>0.4</v>
      </c>
      <c r="H16" s="17" t="n">
        <f aca="false">SUM(D16:G16)</f>
        <v>1</v>
      </c>
      <c r="I16" s="19" t="n">
        <v>0.15</v>
      </c>
      <c r="J16" s="19" t="n">
        <v>0.75</v>
      </c>
      <c r="K16" s="18" t="n">
        <v>0</v>
      </c>
      <c r="L16" s="19" t="n">
        <v>0.1</v>
      </c>
      <c r="M16" s="19" t="n">
        <f aca="false">SUM(I16:L16)</f>
        <v>1</v>
      </c>
      <c r="N16" s="20" t="n">
        <f aca="false">D16-I16</f>
        <v>0</v>
      </c>
      <c r="O16" s="20" t="n">
        <f aca="false">E16-J16</f>
        <v>-0.3</v>
      </c>
      <c r="P16" s="20" t="n">
        <f aca="false">F16-K16</f>
        <v>0</v>
      </c>
      <c r="Q16" s="20" t="n">
        <f aca="false">G16-L16</f>
        <v>0.3</v>
      </c>
      <c r="R16" s="21" t="n">
        <f aca="false">H16</f>
        <v>1</v>
      </c>
      <c r="S16" s="21" t="n">
        <f aca="false">M16</f>
        <v>1</v>
      </c>
    </row>
    <row r="17" customFormat="false" ht="15.75" hidden="false" customHeight="true" outlineLevel="0" collapsed="false">
      <c r="A17" s="22" t="s">
        <v>41</v>
      </c>
      <c r="B17" s="23" t="s">
        <v>38</v>
      </c>
      <c r="C17" s="23" t="s">
        <v>29</v>
      </c>
      <c r="D17" s="17" t="n">
        <v>0.15</v>
      </c>
      <c r="E17" s="17" t="n">
        <v>0.6</v>
      </c>
      <c r="F17" s="24" t="n">
        <v>0</v>
      </c>
      <c r="G17" s="17" t="n">
        <v>0.25</v>
      </c>
      <c r="H17" s="17" t="n">
        <f aca="false">SUM(D17:G17)</f>
        <v>1</v>
      </c>
      <c r="I17" s="19" t="n">
        <v>0.2</v>
      </c>
      <c r="J17" s="19" t="n">
        <v>0.7</v>
      </c>
      <c r="K17" s="24" t="n">
        <v>0</v>
      </c>
      <c r="L17" s="19" t="n">
        <v>0.1</v>
      </c>
      <c r="M17" s="19" t="n">
        <f aca="false">SUM(I17:L17)</f>
        <v>1</v>
      </c>
      <c r="N17" s="20" t="n">
        <f aca="false">D17-I17</f>
        <v>-0.05</v>
      </c>
      <c r="O17" s="20" t="n">
        <f aca="false">E17-J17</f>
        <v>-0.1</v>
      </c>
      <c r="P17" s="20" t="n">
        <f aca="false">F17-K17</f>
        <v>0</v>
      </c>
      <c r="Q17" s="20" t="n">
        <f aca="false">G17-L17</f>
        <v>0.15</v>
      </c>
      <c r="R17" s="21" t="n">
        <f aca="false">H17</f>
        <v>1</v>
      </c>
      <c r="S17" s="21" t="n">
        <f aca="false">M17</f>
        <v>1</v>
      </c>
    </row>
    <row r="18" customFormat="false" ht="15.75" hidden="false" customHeight="true" outlineLevel="0" collapsed="false">
      <c r="A18" s="15" t="s">
        <v>42</v>
      </c>
      <c r="B18" s="16" t="s">
        <v>38</v>
      </c>
      <c r="C18" s="16" t="s">
        <v>31</v>
      </c>
      <c r="D18" s="17" t="n">
        <v>0.2</v>
      </c>
      <c r="E18" s="17" t="n">
        <v>0.65</v>
      </c>
      <c r="F18" s="18" t="n">
        <v>0</v>
      </c>
      <c r="G18" s="17" t="n">
        <v>0.15</v>
      </c>
      <c r="H18" s="17" t="n">
        <f aca="false">SUM(D18:G18)</f>
        <v>1</v>
      </c>
      <c r="I18" s="19" t="n">
        <v>0.2</v>
      </c>
      <c r="J18" s="19" t="n">
        <v>0.7</v>
      </c>
      <c r="K18" s="18" t="n">
        <v>0</v>
      </c>
      <c r="L18" s="19" t="n">
        <v>0.1</v>
      </c>
      <c r="M18" s="19" t="n">
        <f aca="false">SUM(I18:L18)</f>
        <v>1</v>
      </c>
      <c r="N18" s="20" t="n">
        <f aca="false">D18-I18</f>
        <v>0</v>
      </c>
      <c r="O18" s="20" t="n">
        <f aca="false">E18-J18</f>
        <v>-0.0499999999999999</v>
      </c>
      <c r="P18" s="20" t="n">
        <f aca="false">F18-K18</f>
        <v>0</v>
      </c>
      <c r="Q18" s="20" t="n">
        <f aca="false">G18-L18</f>
        <v>0.05</v>
      </c>
      <c r="R18" s="21" t="n">
        <f aca="false">H18</f>
        <v>1</v>
      </c>
      <c r="S18" s="21" t="n">
        <f aca="false">M18</f>
        <v>1</v>
      </c>
    </row>
    <row r="19" customFormat="false" ht="15.75" hidden="false" customHeight="true" outlineLevel="0" collapsed="false">
      <c r="A19" s="22" t="s">
        <v>43</v>
      </c>
      <c r="B19" s="23" t="s">
        <v>38</v>
      </c>
      <c r="C19" s="23" t="s">
        <v>33</v>
      </c>
      <c r="D19" s="17" t="n">
        <v>0.15</v>
      </c>
      <c r="E19" s="17" t="n">
        <v>0.4</v>
      </c>
      <c r="F19" s="24" t="n">
        <v>0</v>
      </c>
      <c r="G19" s="17" t="n">
        <v>0.45</v>
      </c>
      <c r="H19" s="17" t="n">
        <f aca="false">SUM(D19:G19)</f>
        <v>1</v>
      </c>
      <c r="I19" s="19" t="n">
        <v>0.25</v>
      </c>
      <c r="J19" s="19" t="n">
        <v>0.7</v>
      </c>
      <c r="K19" s="24" t="n">
        <v>0</v>
      </c>
      <c r="L19" s="19" t="n">
        <v>0.05</v>
      </c>
      <c r="M19" s="19" t="n">
        <f aca="false">SUM(I19:L19)</f>
        <v>1</v>
      </c>
      <c r="N19" s="20" t="n">
        <f aca="false">D19-I19</f>
        <v>-0.1</v>
      </c>
      <c r="O19" s="20" t="n">
        <f aca="false">E19-J19</f>
        <v>-0.3</v>
      </c>
      <c r="P19" s="20" t="n">
        <f aca="false">F19-K19</f>
        <v>0</v>
      </c>
      <c r="Q19" s="20" t="n">
        <f aca="false">G19-L19</f>
        <v>0.4</v>
      </c>
      <c r="R19" s="21" t="n">
        <f aca="false">H19</f>
        <v>1</v>
      </c>
      <c r="S19" s="21" t="n">
        <f aca="false">M19</f>
        <v>1</v>
      </c>
    </row>
    <row r="20" customFormat="false" ht="15.75" hidden="false" customHeight="true" outlineLevel="0" collapsed="false">
      <c r="A20" s="15" t="s">
        <v>44</v>
      </c>
      <c r="B20" s="16" t="s">
        <v>38</v>
      </c>
      <c r="C20" s="16" t="s">
        <v>35</v>
      </c>
      <c r="D20" s="17" t="n">
        <v>0.1</v>
      </c>
      <c r="E20" s="17" t="n">
        <v>0.5</v>
      </c>
      <c r="F20" s="18" t="n">
        <v>0</v>
      </c>
      <c r="G20" s="17" t="n">
        <v>0.4</v>
      </c>
      <c r="H20" s="17" t="n">
        <f aca="false">SUM(D20:G20)</f>
        <v>1</v>
      </c>
      <c r="I20" s="19" t="n">
        <v>0.25</v>
      </c>
      <c r="J20" s="19" t="n">
        <v>0.7</v>
      </c>
      <c r="K20" s="18" t="n">
        <v>0</v>
      </c>
      <c r="L20" s="19" t="n">
        <v>0.05</v>
      </c>
      <c r="M20" s="19" t="n">
        <f aca="false">SUM(I20:L20)</f>
        <v>1</v>
      </c>
      <c r="N20" s="20" t="n">
        <f aca="false">D20-I20</f>
        <v>-0.15</v>
      </c>
      <c r="O20" s="20" t="n">
        <f aca="false">E20-J20</f>
        <v>-0.2</v>
      </c>
      <c r="P20" s="20" t="n">
        <f aca="false">F20-K20</f>
        <v>0</v>
      </c>
      <c r="Q20" s="20" t="n">
        <f aca="false">G20-L20</f>
        <v>0.35</v>
      </c>
      <c r="R20" s="21" t="n">
        <f aca="false">H20</f>
        <v>1</v>
      </c>
      <c r="S20" s="21" t="n">
        <f aca="false">M20</f>
        <v>1</v>
      </c>
    </row>
    <row r="21" customFormat="false" ht="15.75" hidden="false" customHeight="true" outlineLevel="0" collapsed="false">
      <c r="A21" s="14" t="s">
        <v>45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</row>
    <row r="22" customFormat="false" ht="15.75" hidden="false" customHeight="true" outlineLevel="0" collapsed="false">
      <c r="A22" s="15" t="s">
        <v>46</v>
      </c>
      <c r="B22" s="16" t="s">
        <v>47</v>
      </c>
      <c r="C22" s="16" t="s">
        <v>23</v>
      </c>
      <c r="D22" s="17" t="n">
        <v>0.1</v>
      </c>
      <c r="E22" s="17" t="n">
        <v>0.25</v>
      </c>
      <c r="F22" s="17" t="n">
        <v>0.4</v>
      </c>
      <c r="G22" s="17" t="n">
        <v>0.25</v>
      </c>
      <c r="H22" s="17" t="n">
        <f aca="false">SUM(D22:G22)</f>
        <v>1</v>
      </c>
      <c r="I22" s="19" t="n">
        <v>0.05</v>
      </c>
      <c r="J22" s="19" t="n">
        <v>0.55</v>
      </c>
      <c r="K22" s="19" t="n">
        <v>0.35</v>
      </c>
      <c r="L22" s="19" t="n">
        <v>0.05</v>
      </c>
      <c r="M22" s="19" t="n">
        <f aca="false">SUM(I22:L22)</f>
        <v>1</v>
      </c>
      <c r="N22" s="20" t="n">
        <f aca="false">D22-I22</f>
        <v>0.05</v>
      </c>
      <c r="O22" s="20" t="n">
        <f aca="false">E22-J22</f>
        <v>-0.3</v>
      </c>
      <c r="P22" s="20" t="n">
        <f aca="false">F22-K22</f>
        <v>0.05</v>
      </c>
      <c r="Q22" s="20" t="n">
        <f aca="false">G22-L22</f>
        <v>0.2</v>
      </c>
      <c r="R22" s="21" t="n">
        <f aca="false">H22</f>
        <v>1</v>
      </c>
      <c r="S22" s="21" t="n">
        <f aca="false">M22</f>
        <v>1</v>
      </c>
    </row>
    <row r="23" customFormat="false" ht="15.75" hidden="false" customHeight="true" outlineLevel="0" collapsed="false">
      <c r="A23" s="22" t="s">
        <v>48</v>
      </c>
      <c r="B23" s="23" t="s">
        <v>47</v>
      </c>
      <c r="C23" s="23" t="s">
        <v>25</v>
      </c>
      <c r="D23" s="17" t="n">
        <v>0.1</v>
      </c>
      <c r="E23" s="17" t="n">
        <v>0.25</v>
      </c>
      <c r="F23" s="17" t="n">
        <v>0.45</v>
      </c>
      <c r="G23" s="17" t="n">
        <v>0.2</v>
      </c>
      <c r="H23" s="17" t="n">
        <f aca="false">SUM(D23:G23)</f>
        <v>1</v>
      </c>
      <c r="I23" s="19" t="n">
        <v>0.05</v>
      </c>
      <c r="J23" s="19" t="n">
        <v>0.55</v>
      </c>
      <c r="K23" s="19" t="n">
        <v>0.35</v>
      </c>
      <c r="L23" s="19" t="n">
        <v>0.05</v>
      </c>
      <c r="M23" s="19" t="n">
        <f aca="false">SUM(I23:L23)</f>
        <v>1</v>
      </c>
      <c r="N23" s="20" t="n">
        <f aca="false">D23-I23</f>
        <v>0.05</v>
      </c>
      <c r="O23" s="20" t="n">
        <f aca="false">E23-J23</f>
        <v>-0.3</v>
      </c>
      <c r="P23" s="20" t="n">
        <f aca="false">F23-K23</f>
        <v>0.1</v>
      </c>
      <c r="Q23" s="20" t="n">
        <f aca="false">G23-L23</f>
        <v>0.15</v>
      </c>
      <c r="R23" s="21" t="n">
        <f aca="false">H23</f>
        <v>1</v>
      </c>
      <c r="S23" s="21" t="n">
        <f aca="false">M23</f>
        <v>1</v>
      </c>
    </row>
    <row r="24" customFormat="false" ht="15.75" hidden="false" customHeight="true" outlineLevel="0" collapsed="false">
      <c r="A24" s="15" t="s">
        <v>49</v>
      </c>
      <c r="B24" s="16" t="s">
        <v>47</v>
      </c>
      <c r="C24" s="16" t="s">
        <v>27</v>
      </c>
      <c r="D24" s="17" t="n">
        <v>0.15</v>
      </c>
      <c r="E24" s="17" t="n">
        <v>0.4</v>
      </c>
      <c r="F24" s="17" t="n">
        <v>0.25</v>
      </c>
      <c r="G24" s="17" t="n">
        <v>0.2</v>
      </c>
      <c r="H24" s="17" t="n">
        <f aca="false">SUM(D24:G24)</f>
        <v>1</v>
      </c>
      <c r="I24" s="19" t="n">
        <v>0.05</v>
      </c>
      <c r="J24" s="19" t="n">
        <v>0.55</v>
      </c>
      <c r="K24" s="19" t="n">
        <v>0.35</v>
      </c>
      <c r="L24" s="19" t="n">
        <v>0.05</v>
      </c>
      <c r="M24" s="19" t="n">
        <f aca="false">SUM(I24:L24)</f>
        <v>1</v>
      </c>
      <c r="N24" s="20" t="n">
        <f aca="false">D24-I24</f>
        <v>0.1</v>
      </c>
      <c r="O24" s="20" t="n">
        <f aca="false">E24-J24</f>
        <v>-0.15</v>
      </c>
      <c r="P24" s="20" t="n">
        <f aca="false">F24-K24</f>
        <v>-0.1</v>
      </c>
      <c r="Q24" s="20" t="n">
        <f aca="false">G24-L24</f>
        <v>0.15</v>
      </c>
      <c r="R24" s="21" t="n">
        <f aca="false">H24</f>
        <v>1</v>
      </c>
      <c r="S24" s="21" t="n">
        <f aca="false">M24</f>
        <v>1</v>
      </c>
    </row>
    <row r="25" customFormat="false" ht="15.75" hidden="false" customHeight="true" outlineLevel="0" collapsed="false">
      <c r="A25" s="22" t="s">
        <v>50</v>
      </c>
      <c r="B25" s="23" t="s">
        <v>47</v>
      </c>
      <c r="C25" s="23" t="s">
        <v>29</v>
      </c>
      <c r="D25" s="17" t="n">
        <v>0.1</v>
      </c>
      <c r="E25" s="17" t="n">
        <v>0.35</v>
      </c>
      <c r="F25" s="17" t="n">
        <v>0.25</v>
      </c>
      <c r="G25" s="17" t="n">
        <v>0.3</v>
      </c>
      <c r="H25" s="17" t="n">
        <f aca="false">SUM(D25:G25)</f>
        <v>1</v>
      </c>
      <c r="I25" s="19" t="n">
        <v>0.1</v>
      </c>
      <c r="J25" s="19" t="n">
        <v>0.5</v>
      </c>
      <c r="K25" s="19" t="n">
        <v>0.35</v>
      </c>
      <c r="L25" s="19" t="n">
        <v>0.05</v>
      </c>
      <c r="M25" s="19" t="n">
        <f aca="false">SUM(I25:L25)</f>
        <v>1</v>
      </c>
      <c r="N25" s="20" t="n">
        <f aca="false">D25-I25</f>
        <v>0</v>
      </c>
      <c r="O25" s="20" t="n">
        <f aca="false">E25-J25</f>
        <v>-0.15</v>
      </c>
      <c r="P25" s="20" t="n">
        <f aca="false">F25-K25</f>
        <v>-0.1</v>
      </c>
      <c r="Q25" s="20" t="n">
        <f aca="false">G25-L25</f>
        <v>0.25</v>
      </c>
      <c r="R25" s="21" t="n">
        <f aca="false">H25</f>
        <v>1</v>
      </c>
      <c r="S25" s="21" t="n">
        <f aca="false">M25</f>
        <v>1</v>
      </c>
    </row>
    <row r="26" customFormat="false" ht="15.75" hidden="false" customHeight="true" outlineLevel="0" collapsed="false">
      <c r="A26" s="15" t="s">
        <v>51</v>
      </c>
      <c r="B26" s="16" t="s">
        <v>47</v>
      </c>
      <c r="C26" s="16" t="s">
        <v>31</v>
      </c>
      <c r="D26" s="17" t="n">
        <v>0.1</v>
      </c>
      <c r="E26" s="17" t="n">
        <v>0.4</v>
      </c>
      <c r="F26" s="17" t="n">
        <v>0.3</v>
      </c>
      <c r="G26" s="17" t="n">
        <v>0.2</v>
      </c>
      <c r="H26" s="17" t="n">
        <f aca="false">SUM(D26:G26)</f>
        <v>1</v>
      </c>
      <c r="I26" s="19" t="n">
        <v>0.1</v>
      </c>
      <c r="J26" s="19" t="n">
        <v>0.5</v>
      </c>
      <c r="K26" s="19" t="n">
        <v>0.35</v>
      </c>
      <c r="L26" s="19" t="n">
        <v>0.05</v>
      </c>
      <c r="M26" s="19" t="n">
        <f aca="false">SUM(I26:L26)</f>
        <v>1</v>
      </c>
      <c r="N26" s="20" t="n">
        <f aca="false">D26-I26</f>
        <v>0</v>
      </c>
      <c r="O26" s="20" t="n">
        <f aca="false">E26-J26</f>
        <v>-0.1</v>
      </c>
      <c r="P26" s="20" t="n">
        <f aca="false">F26-K26</f>
        <v>-0.05</v>
      </c>
      <c r="Q26" s="20" t="n">
        <f aca="false">G26-L26</f>
        <v>0.15</v>
      </c>
      <c r="R26" s="21" t="n">
        <f aca="false">H26</f>
        <v>1</v>
      </c>
      <c r="S26" s="21" t="n">
        <f aca="false">M26</f>
        <v>1</v>
      </c>
    </row>
    <row r="27" customFormat="false" ht="15.75" hidden="false" customHeight="true" outlineLevel="0" collapsed="false">
      <c r="A27" s="22" t="s">
        <v>52</v>
      </c>
      <c r="B27" s="23" t="s">
        <v>47</v>
      </c>
      <c r="C27" s="23" t="s">
        <v>33</v>
      </c>
      <c r="D27" s="17" t="n">
        <v>0.1</v>
      </c>
      <c r="E27" s="17" t="n">
        <v>0.2</v>
      </c>
      <c r="F27" s="17" t="n">
        <v>0.45</v>
      </c>
      <c r="G27" s="17" t="n">
        <v>0.25</v>
      </c>
      <c r="H27" s="17" t="n">
        <f aca="false">SUM(D27:G27)</f>
        <v>1</v>
      </c>
      <c r="I27" s="19" t="n">
        <v>0.15</v>
      </c>
      <c r="J27" s="19" t="n">
        <v>0.5</v>
      </c>
      <c r="K27" s="19" t="n">
        <v>0.3</v>
      </c>
      <c r="L27" s="19" t="n">
        <v>0.05</v>
      </c>
      <c r="M27" s="19" t="n">
        <f aca="false">SUM(I27:L27)</f>
        <v>1</v>
      </c>
      <c r="N27" s="20" t="n">
        <f aca="false">D27-I27</f>
        <v>-0.05</v>
      </c>
      <c r="O27" s="20" t="n">
        <f aca="false">E27-J27</f>
        <v>-0.3</v>
      </c>
      <c r="P27" s="20" t="n">
        <f aca="false">F27-K27</f>
        <v>0.15</v>
      </c>
      <c r="Q27" s="20" t="n">
        <f aca="false">G27-L27</f>
        <v>0.2</v>
      </c>
      <c r="R27" s="21" t="n">
        <f aca="false">H27</f>
        <v>1</v>
      </c>
      <c r="S27" s="21" t="n">
        <f aca="false">M27</f>
        <v>1</v>
      </c>
    </row>
    <row r="28" customFormat="false" ht="15.75" hidden="false" customHeight="true" outlineLevel="0" collapsed="false">
      <c r="A28" s="15" t="s">
        <v>53</v>
      </c>
      <c r="B28" s="16" t="s">
        <v>47</v>
      </c>
      <c r="C28" s="16" t="s">
        <v>35</v>
      </c>
      <c r="D28" s="17" t="n">
        <v>0.1</v>
      </c>
      <c r="E28" s="17" t="n">
        <v>0.4</v>
      </c>
      <c r="F28" s="17" t="n">
        <v>0.25</v>
      </c>
      <c r="G28" s="17" t="n">
        <v>0.25</v>
      </c>
      <c r="H28" s="17" t="n">
        <f aca="false">SUM(D28:G28)</f>
        <v>1</v>
      </c>
      <c r="I28" s="19" t="n">
        <v>0.15</v>
      </c>
      <c r="J28" s="19" t="n">
        <v>0.5</v>
      </c>
      <c r="K28" s="19" t="n">
        <v>0.3</v>
      </c>
      <c r="L28" s="19" t="n">
        <v>0.05</v>
      </c>
      <c r="M28" s="19" t="n">
        <f aca="false">SUM(I28:L28)</f>
        <v>1</v>
      </c>
      <c r="N28" s="20" t="n">
        <f aca="false">D28-I28</f>
        <v>-0.05</v>
      </c>
      <c r="O28" s="20" t="n">
        <f aca="false">E28-J28</f>
        <v>-0.1</v>
      </c>
      <c r="P28" s="20" t="n">
        <f aca="false">F28-K28</f>
        <v>-0.05</v>
      </c>
      <c r="Q28" s="20" t="n">
        <f aca="false">G28-L28</f>
        <v>0.2</v>
      </c>
      <c r="R28" s="21" t="n">
        <f aca="false">H28</f>
        <v>1</v>
      </c>
      <c r="S28" s="21" t="n">
        <f aca="false">M28</f>
        <v>1</v>
      </c>
    </row>
    <row r="29" customFormat="false" ht="15.75" hidden="false" customHeight="true" outlineLevel="0" collapsed="false">
      <c r="A29" s="14" t="s">
        <v>54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</row>
    <row r="30" customFormat="false" ht="15.75" hidden="false" customHeight="true" outlineLevel="0" collapsed="false">
      <c r="A30" s="15" t="s">
        <v>55</v>
      </c>
      <c r="B30" s="16" t="s">
        <v>56</v>
      </c>
      <c r="C30" s="16" t="s">
        <v>23</v>
      </c>
      <c r="D30" s="17" t="n">
        <v>0.05</v>
      </c>
      <c r="E30" s="17" t="n">
        <v>0.2</v>
      </c>
      <c r="F30" s="17" t="n">
        <v>0.55</v>
      </c>
      <c r="G30" s="17" t="n">
        <v>0.2</v>
      </c>
      <c r="H30" s="17" t="n">
        <f aca="false">SUM(D30:G30)</f>
        <v>1</v>
      </c>
      <c r="I30" s="19" t="n">
        <v>0.05</v>
      </c>
      <c r="J30" s="19" t="n">
        <v>0.35</v>
      </c>
      <c r="K30" s="19" t="n">
        <v>0.45</v>
      </c>
      <c r="L30" s="19" t="n">
        <v>0.15</v>
      </c>
      <c r="M30" s="19" t="n">
        <f aca="false">SUM(I30:L30)</f>
        <v>1</v>
      </c>
      <c r="N30" s="20" t="n">
        <f aca="false">D30-I30</f>
        <v>0</v>
      </c>
      <c r="O30" s="20" t="n">
        <f aca="false">E30-J30</f>
        <v>-0.15</v>
      </c>
      <c r="P30" s="20" t="n">
        <f aca="false">F30-K30</f>
        <v>0.1</v>
      </c>
      <c r="Q30" s="20" t="n">
        <f aca="false">G30-L30</f>
        <v>0.05</v>
      </c>
      <c r="R30" s="21" t="n">
        <f aca="false">H30</f>
        <v>1</v>
      </c>
      <c r="S30" s="21" t="n">
        <f aca="false">M30</f>
        <v>1</v>
      </c>
    </row>
    <row r="31" customFormat="false" ht="15.75" hidden="false" customHeight="true" outlineLevel="0" collapsed="false">
      <c r="A31" s="22" t="s">
        <v>57</v>
      </c>
      <c r="B31" s="23" t="s">
        <v>56</v>
      </c>
      <c r="C31" s="23" t="s">
        <v>25</v>
      </c>
      <c r="D31" s="17" t="n">
        <v>0.05</v>
      </c>
      <c r="E31" s="17" t="n">
        <v>0.2</v>
      </c>
      <c r="F31" s="17" t="n">
        <v>0.45</v>
      </c>
      <c r="G31" s="17" t="n">
        <v>0.3</v>
      </c>
      <c r="H31" s="17" t="n">
        <f aca="false">SUM(D31:G31)</f>
        <v>1</v>
      </c>
      <c r="I31" s="19" t="n">
        <v>0.05</v>
      </c>
      <c r="J31" s="19" t="n">
        <v>0.35</v>
      </c>
      <c r="K31" s="19" t="n">
        <v>0.45</v>
      </c>
      <c r="L31" s="19" t="n">
        <v>0.15</v>
      </c>
      <c r="M31" s="19" t="n">
        <f aca="false">SUM(I31:L31)</f>
        <v>1</v>
      </c>
      <c r="N31" s="20" t="n">
        <f aca="false">D31-I31</f>
        <v>0</v>
      </c>
      <c r="O31" s="20" t="n">
        <f aca="false">E31-J31</f>
        <v>-0.15</v>
      </c>
      <c r="P31" s="20" t="n">
        <f aca="false">F31-K31</f>
        <v>0</v>
      </c>
      <c r="Q31" s="20" t="n">
        <f aca="false">G31-L31</f>
        <v>0.15</v>
      </c>
      <c r="R31" s="21" t="n">
        <f aca="false">H31</f>
        <v>1</v>
      </c>
      <c r="S31" s="21" t="n">
        <f aca="false">M31</f>
        <v>1</v>
      </c>
    </row>
    <row r="32" customFormat="false" ht="15.75" hidden="false" customHeight="true" outlineLevel="0" collapsed="false">
      <c r="A32" s="15" t="s">
        <v>58</v>
      </c>
      <c r="B32" s="16" t="s">
        <v>56</v>
      </c>
      <c r="C32" s="16" t="s">
        <v>27</v>
      </c>
      <c r="D32" s="17" t="n">
        <v>0.05</v>
      </c>
      <c r="E32" s="17" t="n">
        <v>0.2</v>
      </c>
      <c r="F32" s="17" t="n">
        <v>0.5</v>
      </c>
      <c r="G32" s="17" t="n">
        <v>0.25</v>
      </c>
      <c r="H32" s="17" t="n">
        <f aca="false">SUM(D32:G32)</f>
        <v>1</v>
      </c>
      <c r="I32" s="19" t="n">
        <v>0.05</v>
      </c>
      <c r="J32" s="19" t="n">
        <v>0.35</v>
      </c>
      <c r="K32" s="19" t="n">
        <v>0.45</v>
      </c>
      <c r="L32" s="19" t="n">
        <v>0.15</v>
      </c>
      <c r="M32" s="19" t="n">
        <f aca="false">SUM(I32:L32)</f>
        <v>1</v>
      </c>
      <c r="N32" s="20" t="n">
        <f aca="false">D32-I32</f>
        <v>0</v>
      </c>
      <c r="O32" s="20" t="n">
        <f aca="false">E32-J32</f>
        <v>-0.15</v>
      </c>
      <c r="P32" s="20" t="n">
        <f aca="false">F32-K32</f>
        <v>0.05</v>
      </c>
      <c r="Q32" s="20" t="n">
        <f aca="false">G32-L32</f>
        <v>0.1</v>
      </c>
      <c r="R32" s="21" t="n">
        <f aca="false">H32</f>
        <v>1</v>
      </c>
      <c r="S32" s="21" t="n">
        <f aca="false">M32</f>
        <v>1</v>
      </c>
    </row>
    <row r="33" customFormat="false" ht="15.75" hidden="false" customHeight="true" outlineLevel="0" collapsed="false">
      <c r="A33" s="22" t="s">
        <v>59</v>
      </c>
      <c r="B33" s="23" t="s">
        <v>56</v>
      </c>
      <c r="C33" s="23" t="s">
        <v>29</v>
      </c>
      <c r="D33" s="17" t="n">
        <v>0.1</v>
      </c>
      <c r="E33" s="17" t="n">
        <v>0.32</v>
      </c>
      <c r="F33" s="17" t="n">
        <v>0.28</v>
      </c>
      <c r="G33" s="17" t="n">
        <v>0.3</v>
      </c>
      <c r="H33" s="17" t="n">
        <f aca="false">SUM(D33:G33)</f>
        <v>1</v>
      </c>
      <c r="I33" s="19" t="n">
        <v>0.05</v>
      </c>
      <c r="J33" s="19" t="n">
        <v>0.3</v>
      </c>
      <c r="K33" s="19" t="n">
        <v>0.45</v>
      </c>
      <c r="L33" s="19" t="n">
        <v>0.2</v>
      </c>
      <c r="M33" s="19" t="n">
        <f aca="false">SUM(I33:L33)</f>
        <v>1</v>
      </c>
      <c r="N33" s="20" t="n">
        <f aca="false">D33-I33</f>
        <v>0.05</v>
      </c>
      <c r="O33" s="20" t="n">
        <f aca="false">E33-J33</f>
        <v>0.02</v>
      </c>
      <c r="P33" s="20" t="n">
        <f aca="false">F33-K33</f>
        <v>-0.17</v>
      </c>
      <c r="Q33" s="20" t="n">
        <f aca="false">G33-L33</f>
        <v>0.1</v>
      </c>
      <c r="R33" s="21" t="n">
        <f aca="false">H33</f>
        <v>1</v>
      </c>
      <c r="S33" s="21" t="n">
        <f aca="false">M33</f>
        <v>1</v>
      </c>
    </row>
    <row r="34" customFormat="false" ht="15.75" hidden="false" customHeight="true" outlineLevel="0" collapsed="false">
      <c r="A34" s="15" t="s">
        <v>60</v>
      </c>
      <c r="B34" s="16" t="s">
        <v>56</v>
      </c>
      <c r="C34" s="16" t="s">
        <v>31</v>
      </c>
      <c r="D34" s="17" t="n">
        <v>0.05</v>
      </c>
      <c r="E34" s="17" t="n">
        <v>0.11</v>
      </c>
      <c r="F34" s="17" t="n">
        <v>0.47</v>
      </c>
      <c r="G34" s="17" t="n">
        <v>0.37</v>
      </c>
      <c r="H34" s="17" t="n">
        <f aca="false">SUM(D34:G34)</f>
        <v>1</v>
      </c>
      <c r="I34" s="19" t="n">
        <v>0.05</v>
      </c>
      <c r="J34" s="19" t="n">
        <v>0.3</v>
      </c>
      <c r="K34" s="19" t="n">
        <v>0.45</v>
      </c>
      <c r="L34" s="19" t="n">
        <v>0.2</v>
      </c>
      <c r="M34" s="19" t="n">
        <f aca="false">SUM(I34:L34)</f>
        <v>1</v>
      </c>
      <c r="N34" s="20" t="n">
        <f aca="false">D34-I34</f>
        <v>0</v>
      </c>
      <c r="O34" s="20" t="n">
        <f aca="false">E34-J34</f>
        <v>-0.19</v>
      </c>
      <c r="P34" s="20" t="n">
        <f aca="false">F34-K34</f>
        <v>0.02</v>
      </c>
      <c r="Q34" s="20" t="n">
        <f aca="false">G34-L34</f>
        <v>0.17</v>
      </c>
      <c r="R34" s="21" t="n">
        <f aca="false">H34</f>
        <v>1</v>
      </c>
      <c r="S34" s="21" t="n">
        <f aca="false">M34</f>
        <v>1</v>
      </c>
    </row>
    <row r="35" customFormat="false" ht="15.75" hidden="false" customHeight="true" outlineLevel="0" collapsed="false">
      <c r="A35" s="22" t="s">
        <v>61</v>
      </c>
      <c r="B35" s="23" t="s">
        <v>56</v>
      </c>
      <c r="C35" s="23" t="s">
        <v>33</v>
      </c>
      <c r="D35" s="17" t="n">
        <v>0.05</v>
      </c>
      <c r="E35" s="17" t="n">
        <v>0.2</v>
      </c>
      <c r="F35" s="17" t="n">
        <v>0.45</v>
      </c>
      <c r="G35" s="17" t="n">
        <v>0.3</v>
      </c>
      <c r="H35" s="17" t="n">
        <f aca="false">SUM(D35:G35)</f>
        <v>1</v>
      </c>
      <c r="I35" s="19" t="n">
        <v>0.1</v>
      </c>
      <c r="J35" s="19" t="n">
        <v>0.4</v>
      </c>
      <c r="K35" s="19" t="n">
        <v>0.35</v>
      </c>
      <c r="L35" s="19" t="n">
        <v>0.15</v>
      </c>
      <c r="M35" s="19" t="n">
        <f aca="false">SUM(I35:L35)</f>
        <v>1</v>
      </c>
      <c r="N35" s="20" t="n">
        <f aca="false">D35-I35</f>
        <v>-0.05</v>
      </c>
      <c r="O35" s="20" t="n">
        <f aca="false">E35-J35</f>
        <v>-0.2</v>
      </c>
      <c r="P35" s="20" t="n">
        <f aca="false">F35-K35</f>
        <v>0.1</v>
      </c>
      <c r="Q35" s="20" t="n">
        <f aca="false">G35-L35</f>
        <v>0.15</v>
      </c>
      <c r="R35" s="21" t="n">
        <f aca="false">H35</f>
        <v>1</v>
      </c>
      <c r="S35" s="21" t="n">
        <f aca="false">M35</f>
        <v>1</v>
      </c>
    </row>
    <row r="36" customFormat="false" ht="15.75" hidden="false" customHeight="true" outlineLevel="0" collapsed="false">
      <c r="A36" s="15" t="s">
        <v>62</v>
      </c>
      <c r="B36" s="16" t="s">
        <v>56</v>
      </c>
      <c r="C36" s="16" t="s">
        <v>35</v>
      </c>
      <c r="D36" s="17" t="n">
        <v>0.1</v>
      </c>
      <c r="E36" s="17" t="n">
        <v>0.2</v>
      </c>
      <c r="F36" s="17" t="n">
        <v>0.45</v>
      </c>
      <c r="G36" s="17" t="n">
        <v>0.25</v>
      </c>
      <c r="H36" s="17" t="n">
        <f aca="false">SUM(D36:G36)</f>
        <v>1</v>
      </c>
      <c r="I36" s="19" t="n">
        <v>0.1</v>
      </c>
      <c r="J36" s="19" t="n">
        <v>0.4</v>
      </c>
      <c r="K36" s="19" t="n">
        <v>0.35</v>
      </c>
      <c r="L36" s="19" t="n">
        <v>0.15</v>
      </c>
      <c r="M36" s="19" t="n">
        <f aca="false">SUM(I36:L36)</f>
        <v>1</v>
      </c>
      <c r="N36" s="20" t="n">
        <f aca="false">D36-I36</f>
        <v>0</v>
      </c>
      <c r="O36" s="20" t="n">
        <f aca="false">E36-J36</f>
        <v>-0.2</v>
      </c>
      <c r="P36" s="20" t="n">
        <f aca="false">F36-K36</f>
        <v>0.1</v>
      </c>
      <c r="Q36" s="20" t="n">
        <f aca="false">G36-L36</f>
        <v>0.1</v>
      </c>
      <c r="R36" s="21" t="n">
        <f aca="false">H36</f>
        <v>1</v>
      </c>
      <c r="S36" s="21" t="n">
        <f aca="false">M36</f>
        <v>1</v>
      </c>
    </row>
    <row r="37" customFormat="false" ht="15.75" hidden="false" customHeight="true" outlineLevel="0" collapsed="false">
      <c r="A37" s="14" t="s">
        <v>63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</row>
    <row r="38" customFormat="false" ht="15.75" hidden="false" customHeight="true" outlineLevel="0" collapsed="false">
      <c r="A38" s="15" t="s">
        <v>64</v>
      </c>
      <c r="B38" s="16" t="s">
        <v>65</v>
      </c>
      <c r="C38" s="16" t="s">
        <v>23</v>
      </c>
      <c r="D38" s="17" t="n">
        <v>0.05</v>
      </c>
      <c r="E38" s="17" t="n">
        <v>0.15</v>
      </c>
      <c r="F38" s="17" t="n">
        <v>0.45</v>
      </c>
      <c r="G38" s="17" t="n">
        <v>0.35</v>
      </c>
      <c r="H38" s="17" t="n">
        <f aca="false">SUM(D38:G38)</f>
        <v>1</v>
      </c>
      <c r="I38" s="19" t="n">
        <v>0.05</v>
      </c>
      <c r="J38" s="19" t="n">
        <v>0.2</v>
      </c>
      <c r="K38" s="19" t="n">
        <v>0.55</v>
      </c>
      <c r="L38" s="19" t="n">
        <v>0.2</v>
      </c>
      <c r="M38" s="19" t="n">
        <f aca="false">SUM(I38:L38)</f>
        <v>1</v>
      </c>
      <c r="N38" s="20" t="n">
        <f aca="false">D38-I38</f>
        <v>0</v>
      </c>
      <c r="O38" s="20" t="n">
        <f aca="false">E38-J38</f>
        <v>-0.05</v>
      </c>
      <c r="P38" s="20" t="n">
        <f aca="false">F38-K38</f>
        <v>-0.1</v>
      </c>
      <c r="Q38" s="20" t="n">
        <f aca="false">G38-L38</f>
        <v>0.15</v>
      </c>
      <c r="R38" s="21" t="n">
        <f aca="false">H38</f>
        <v>1</v>
      </c>
      <c r="S38" s="21" t="n">
        <f aca="false">M38</f>
        <v>1</v>
      </c>
    </row>
    <row r="39" customFormat="false" ht="15.75" hidden="false" customHeight="true" outlineLevel="0" collapsed="false">
      <c r="A39" s="22" t="s">
        <v>66</v>
      </c>
      <c r="B39" s="23" t="s">
        <v>65</v>
      </c>
      <c r="C39" s="23" t="s">
        <v>25</v>
      </c>
      <c r="D39" s="17" t="n">
        <v>0.1</v>
      </c>
      <c r="E39" s="17" t="n">
        <v>0.15</v>
      </c>
      <c r="F39" s="17" t="n">
        <v>0.5</v>
      </c>
      <c r="G39" s="17" t="n">
        <v>0.25</v>
      </c>
      <c r="H39" s="17" t="n">
        <f aca="false">SUM(D39:G39)</f>
        <v>1</v>
      </c>
      <c r="I39" s="19" t="n">
        <v>0.05</v>
      </c>
      <c r="J39" s="19" t="n">
        <v>0.2</v>
      </c>
      <c r="K39" s="19" t="n">
        <v>0.55</v>
      </c>
      <c r="L39" s="19" t="n">
        <v>0.2</v>
      </c>
      <c r="M39" s="19" t="n">
        <f aca="false">SUM(I39:L39)</f>
        <v>1</v>
      </c>
      <c r="N39" s="20" t="n">
        <f aca="false">D39-I39</f>
        <v>0.05</v>
      </c>
      <c r="O39" s="20" t="n">
        <f aca="false">E39-J39</f>
        <v>-0.05</v>
      </c>
      <c r="P39" s="20" t="n">
        <f aca="false">F39-K39</f>
        <v>-0.05</v>
      </c>
      <c r="Q39" s="20" t="n">
        <f aca="false">G39-L39</f>
        <v>0.05</v>
      </c>
      <c r="R39" s="21" t="n">
        <f aca="false">H39</f>
        <v>1</v>
      </c>
      <c r="S39" s="21" t="n">
        <f aca="false">M39</f>
        <v>1</v>
      </c>
    </row>
    <row r="40" customFormat="false" ht="15.75" hidden="false" customHeight="true" outlineLevel="0" collapsed="false">
      <c r="A40" s="15" t="s">
        <v>67</v>
      </c>
      <c r="B40" s="16" t="s">
        <v>65</v>
      </c>
      <c r="C40" s="16" t="s">
        <v>27</v>
      </c>
      <c r="D40" s="17" t="n">
        <v>0.1</v>
      </c>
      <c r="E40" s="17" t="n">
        <v>0.15</v>
      </c>
      <c r="F40" s="17" t="n">
        <v>0.45</v>
      </c>
      <c r="G40" s="17" t="n">
        <v>0.3</v>
      </c>
      <c r="H40" s="17" t="n">
        <f aca="false">SUM(D40:G40)</f>
        <v>1</v>
      </c>
      <c r="I40" s="19" t="n">
        <v>0.05</v>
      </c>
      <c r="J40" s="19" t="n">
        <v>0.2</v>
      </c>
      <c r="K40" s="19" t="n">
        <v>0.55</v>
      </c>
      <c r="L40" s="19" t="n">
        <v>0.2</v>
      </c>
      <c r="M40" s="19" t="n">
        <f aca="false">SUM(I40:L40)</f>
        <v>1</v>
      </c>
      <c r="N40" s="20" t="n">
        <f aca="false">D40-I40</f>
        <v>0.05</v>
      </c>
      <c r="O40" s="20" t="n">
        <f aca="false">E40-J40</f>
        <v>-0.05</v>
      </c>
      <c r="P40" s="20" t="n">
        <f aca="false">F40-K40</f>
        <v>-0.1</v>
      </c>
      <c r="Q40" s="20" t="n">
        <f aca="false">G40-L40</f>
        <v>0.1</v>
      </c>
      <c r="R40" s="21" t="n">
        <f aca="false">H40</f>
        <v>1</v>
      </c>
      <c r="S40" s="21" t="n">
        <f aca="false">M40</f>
        <v>1</v>
      </c>
    </row>
    <row r="41" customFormat="false" ht="15.75" hidden="false" customHeight="true" outlineLevel="0" collapsed="false">
      <c r="A41" s="22" t="s">
        <v>68</v>
      </c>
      <c r="B41" s="23" t="s">
        <v>65</v>
      </c>
      <c r="C41" s="23" t="s">
        <v>29</v>
      </c>
      <c r="D41" s="17" t="n">
        <v>0.05</v>
      </c>
      <c r="E41" s="17" t="n">
        <v>0.15</v>
      </c>
      <c r="F41" s="17" t="n">
        <v>0.55</v>
      </c>
      <c r="G41" s="17" t="n">
        <v>0.25</v>
      </c>
      <c r="H41" s="17" t="n">
        <f aca="false">SUM(D41:G41)</f>
        <v>1</v>
      </c>
      <c r="I41" s="19" t="n">
        <v>0.05</v>
      </c>
      <c r="J41" s="19" t="n">
        <v>0.1</v>
      </c>
      <c r="K41" s="19" t="n">
        <v>0.55</v>
      </c>
      <c r="L41" s="19" t="n">
        <v>0.3</v>
      </c>
      <c r="M41" s="19" t="n">
        <f aca="false">SUM(I41:L41)</f>
        <v>1</v>
      </c>
      <c r="N41" s="20" t="n">
        <f aca="false">D41-I41</f>
        <v>0</v>
      </c>
      <c r="O41" s="20" t="n">
        <f aca="false">E41-J41</f>
        <v>0.05</v>
      </c>
      <c r="P41" s="20" t="n">
        <f aca="false">F41-K41</f>
        <v>0</v>
      </c>
      <c r="Q41" s="20" t="n">
        <f aca="false">G41-L41</f>
        <v>-0.05</v>
      </c>
      <c r="R41" s="21" t="n">
        <f aca="false">H41</f>
        <v>1</v>
      </c>
      <c r="S41" s="21" t="n">
        <f aca="false">M41</f>
        <v>1</v>
      </c>
    </row>
    <row r="42" customFormat="false" ht="15.75" hidden="false" customHeight="true" outlineLevel="0" collapsed="false">
      <c r="A42" s="15" t="s">
        <v>69</v>
      </c>
      <c r="B42" s="16" t="s">
        <v>65</v>
      </c>
      <c r="C42" s="16" t="s">
        <v>31</v>
      </c>
      <c r="D42" s="17" t="n">
        <v>0.1</v>
      </c>
      <c r="E42" s="17" t="n">
        <v>0.15</v>
      </c>
      <c r="F42" s="17" t="n">
        <v>0.45</v>
      </c>
      <c r="G42" s="17" t="n">
        <v>0.3</v>
      </c>
      <c r="H42" s="17" t="n">
        <f aca="false">SUM(D42:G42)</f>
        <v>1</v>
      </c>
      <c r="I42" s="19" t="n">
        <v>0.05</v>
      </c>
      <c r="J42" s="19" t="n">
        <v>0.1</v>
      </c>
      <c r="K42" s="19" t="n">
        <v>0.55</v>
      </c>
      <c r="L42" s="19" t="n">
        <v>0.3</v>
      </c>
      <c r="M42" s="19" t="n">
        <f aca="false">SUM(I42:L42)</f>
        <v>1</v>
      </c>
      <c r="N42" s="20" t="n">
        <f aca="false">D42-I42</f>
        <v>0.05</v>
      </c>
      <c r="O42" s="20" t="n">
        <f aca="false">E42-J42</f>
        <v>0.05</v>
      </c>
      <c r="P42" s="20" t="n">
        <f aca="false">F42-K42</f>
        <v>-0.1</v>
      </c>
      <c r="Q42" s="20" t="n">
        <f aca="false">G42-L42</f>
        <v>0</v>
      </c>
      <c r="R42" s="21" t="n">
        <f aca="false">H42</f>
        <v>1</v>
      </c>
      <c r="S42" s="21" t="n">
        <f aca="false">M42</f>
        <v>1</v>
      </c>
    </row>
    <row r="43" customFormat="false" ht="15.75" hidden="false" customHeight="true" outlineLevel="0" collapsed="false">
      <c r="A43" s="22" t="s">
        <v>70</v>
      </c>
      <c r="B43" s="23" t="s">
        <v>65</v>
      </c>
      <c r="C43" s="23" t="s">
        <v>33</v>
      </c>
      <c r="D43" s="17" t="n">
        <v>0.05</v>
      </c>
      <c r="E43" s="17" t="n">
        <v>0.2</v>
      </c>
      <c r="F43" s="17" t="n">
        <v>0.45</v>
      </c>
      <c r="G43" s="17" t="n">
        <v>0.3</v>
      </c>
      <c r="H43" s="17" t="n">
        <f aca="false">SUM(D43:G43)</f>
        <v>1</v>
      </c>
      <c r="I43" s="19" t="n">
        <v>0.15</v>
      </c>
      <c r="J43" s="19" t="n">
        <v>0.1</v>
      </c>
      <c r="K43" s="19" t="n">
        <v>0.45</v>
      </c>
      <c r="L43" s="19" t="n">
        <v>0.3</v>
      </c>
      <c r="M43" s="19" t="n">
        <f aca="false">SUM(I43:L43)</f>
        <v>1</v>
      </c>
      <c r="N43" s="20" t="n">
        <f aca="false">D43-I43</f>
        <v>-0.1</v>
      </c>
      <c r="O43" s="20" t="n">
        <f aca="false">E43-J43</f>
        <v>0.1</v>
      </c>
      <c r="P43" s="20" t="n">
        <f aca="false">F43-K43</f>
        <v>0</v>
      </c>
      <c r="Q43" s="20" t="n">
        <f aca="false">G43-L43</f>
        <v>0</v>
      </c>
      <c r="R43" s="21" t="n">
        <f aca="false">H43</f>
        <v>1</v>
      </c>
      <c r="S43" s="21" t="n">
        <f aca="false">M43</f>
        <v>1</v>
      </c>
    </row>
    <row r="44" customFormat="false" ht="15.75" hidden="false" customHeight="true" outlineLevel="0" collapsed="false">
      <c r="A44" s="15" t="s">
        <v>71</v>
      </c>
      <c r="B44" s="16" t="s">
        <v>65</v>
      </c>
      <c r="C44" s="16" t="s">
        <v>35</v>
      </c>
      <c r="D44" s="17" t="n">
        <v>0.1</v>
      </c>
      <c r="E44" s="17" t="n">
        <v>0.15</v>
      </c>
      <c r="F44" s="17" t="n">
        <v>0.45</v>
      </c>
      <c r="G44" s="17" t="n">
        <v>0.3</v>
      </c>
      <c r="H44" s="17" t="n">
        <f aca="false">SUM(D44:G44)</f>
        <v>1</v>
      </c>
      <c r="I44" s="19" t="n">
        <v>0.15</v>
      </c>
      <c r="J44" s="19" t="n">
        <v>0.1</v>
      </c>
      <c r="K44" s="19" t="n">
        <v>0.45</v>
      </c>
      <c r="L44" s="19" t="n">
        <v>0.3</v>
      </c>
      <c r="M44" s="19" t="n">
        <f aca="false">SUM(I44:L44)</f>
        <v>1</v>
      </c>
      <c r="N44" s="20" t="n">
        <f aca="false">D44-I44</f>
        <v>-0.05</v>
      </c>
      <c r="O44" s="20" t="n">
        <f aca="false">E44-J44</f>
        <v>0.05</v>
      </c>
      <c r="P44" s="20" t="n">
        <f aca="false">F44-K44</f>
        <v>0</v>
      </c>
      <c r="Q44" s="20" t="n">
        <f aca="false">G44-L44</f>
        <v>0</v>
      </c>
      <c r="R44" s="21" t="n">
        <f aca="false">H44</f>
        <v>1</v>
      </c>
      <c r="S44" s="21" t="n">
        <f aca="false">M44</f>
        <v>1</v>
      </c>
    </row>
  </sheetData>
  <mergeCells count="14">
    <mergeCell ref="A1:S1"/>
    <mergeCell ref="A2:S2"/>
    <mergeCell ref="A3:A4"/>
    <mergeCell ref="B3:B4"/>
    <mergeCell ref="C3:C4"/>
    <mergeCell ref="D3:H3"/>
    <mergeCell ref="I3:M3"/>
    <mergeCell ref="N3:Q3"/>
    <mergeCell ref="R3:S3"/>
    <mergeCell ref="A5:S5"/>
    <mergeCell ref="A13:S13"/>
    <mergeCell ref="A21:S21"/>
    <mergeCell ref="A29:S29"/>
    <mergeCell ref="A37:S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8" min="2" style="0" width="12"/>
    <col collapsed="false" customWidth="true" hidden="false" outlineLevel="0" max="9" min="9" style="0" width="10"/>
  </cols>
  <sheetData>
    <row r="1" customFormat="false" ht="27.75" hidden="false" customHeight="true" outlineLevel="0" collapsed="false">
      <c r="A1" s="25" t="s">
        <v>72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3" customFormat="false" ht="19.5" hidden="false" customHeight="true" outlineLevel="0" collapsed="false">
      <c r="A3" s="26" t="s">
        <v>73</v>
      </c>
      <c r="B3" s="26"/>
      <c r="C3" s="26"/>
      <c r="D3" s="26"/>
      <c r="E3" s="26"/>
      <c r="F3" s="26"/>
      <c r="G3" s="26"/>
      <c r="H3" s="26"/>
      <c r="I3" s="26"/>
    </row>
    <row r="4" customFormat="false" ht="30" hidden="false" customHeight="true" outlineLevel="0" collapsed="false">
      <c r="A4" s="27" t="s">
        <v>74</v>
      </c>
      <c r="B4" s="28" t="s">
        <v>75</v>
      </c>
      <c r="C4" s="28" t="s">
        <v>76</v>
      </c>
      <c r="D4" s="28" t="s">
        <v>77</v>
      </c>
      <c r="E4" s="28" t="s">
        <v>78</v>
      </c>
      <c r="F4" s="28" t="s">
        <v>79</v>
      </c>
      <c r="G4" s="28" t="s">
        <v>80</v>
      </c>
      <c r="H4" s="28" t="s">
        <v>81</v>
      </c>
      <c r="I4" s="29" t="s">
        <v>82</v>
      </c>
    </row>
    <row r="5" customFormat="false" ht="15.75" hidden="false" customHeight="true" outlineLevel="0" collapsed="false">
      <c r="A5" s="30" t="s">
        <v>83</v>
      </c>
      <c r="B5" s="31" t="n">
        <v>0.3</v>
      </c>
      <c r="C5" s="31" t="n">
        <v>0.7</v>
      </c>
      <c r="D5" s="31" t="n">
        <v>0.3</v>
      </c>
      <c r="E5" s="31" t="n">
        <v>0.4</v>
      </c>
      <c r="F5" s="31" t="n">
        <v>0.7</v>
      </c>
      <c r="G5" s="31" t="n">
        <v>0.7</v>
      </c>
      <c r="H5" s="31" t="n">
        <v>0.6</v>
      </c>
      <c r="I5" s="32" t="n">
        <f aca="false">AVERAGE(B5:H5)</f>
        <v>0.528571428571429</v>
      </c>
    </row>
    <row r="6" customFormat="false" ht="15.75" hidden="false" customHeight="true" outlineLevel="0" collapsed="false">
      <c r="A6" s="30" t="s">
        <v>84</v>
      </c>
      <c r="B6" s="31" t="n">
        <v>0.15</v>
      </c>
      <c r="C6" s="31" t="n">
        <v>0.2</v>
      </c>
      <c r="D6" s="31" t="n">
        <v>0.15</v>
      </c>
      <c r="E6" s="31" t="n">
        <v>0.15</v>
      </c>
      <c r="F6" s="31" t="n">
        <v>0.2</v>
      </c>
      <c r="G6" s="31" t="n">
        <v>0.15</v>
      </c>
      <c r="H6" s="31" t="n">
        <v>0.1</v>
      </c>
      <c r="I6" s="32" t="n">
        <f aca="false">AVERAGE(B6:H6)</f>
        <v>0.157142857142857</v>
      </c>
    </row>
    <row r="7" customFormat="false" ht="15.75" hidden="false" customHeight="true" outlineLevel="0" collapsed="false">
      <c r="A7" s="30" t="s">
        <v>85</v>
      </c>
      <c r="B7" s="31" t="n">
        <v>0.1</v>
      </c>
      <c r="C7" s="31" t="n">
        <v>0.1</v>
      </c>
      <c r="D7" s="31" t="n">
        <v>0.15</v>
      </c>
      <c r="E7" s="31" t="n">
        <v>0.1</v>
      </c>
      <c r="F7" s="31" t="n">
        <v>0.1</v>
      </c>
      <c r="G7" s="31" t="n">
        <v>0.1</v>
      </c>
      <c r="H7" s="31" t="n">
        <v>0.1</v>
      </c>
      <c r="I7" s="32" t="n">
        <f aca="false">AVERAGE(B7:H7)</f>
        <v>0.107142857142857</v>
      </c>
    </row>
    <row r="8" customFormat="false" ht="15.75" hidden="false" customHeight="true" outlineLevel="0" collapsed="false">
      <c r="A8" s="30" t="s">
        <v>86</v>
      </c>
      <c r="B8" s="31" t="n">
        <v>0.05</v>
      </c>
      <c r="C8" s="31" t="n">
        <v>0.05</v>
      </c>
      <c r="D8" s="31" t="n">
        <v>0.05</v>
      </c>
      <c r="E8" s="31" t="n">
        <v>0.1</v>
      </c>
      <c r="F8" s="31" t="n">
        <v>0.05</v>
      </c>
      <c r="G8" s="31" t="n">
        <v>0.05</v>
      </c>
      <c r="H8" s="31" t="n">
        <v>0.1</v>
      </c>
      <c r="I8" s="32" t="n">
        <f aca="false">AVERAGE(B8:H8)</f>
        <v>0.0642857142857143</v>
      </c>
    </row>
    <row r="9" customFormat="false" ht="15.75" hidden="false" customHeight="true" outlineLevel="0" collapsed="false">
      <c r="A9" s="30" t="s">
        <v>87</v>
      </c>
      <c r="B9" s="31" t="n">
        <v>0.05</v>
      </c>
      <c r="C9" s="31" t="n">
        <v>0.1</v>
      </c>
      <c r="D9" s="31" t="n">
        <v>0.1</v>
      </c>
      <c r="E9" s="31" t="n">
        <v>0.05</v>
      </c>
      <c r="F9" s="31" t="n">
        <v>0.1</v>
      </c>
      <c r="G9" s="31" t="n">
        <v>0.05</v>
      </c>
      <c r="H9" s="31" t="n">
        <v>0.1</v>
      </c>
      <c r="I9" s="32" t="n">
        <f aca="false">AVERAGE(B9:H9)</f>
        <v>0.0785714285714286</v>
      </c>
    </row>
    <row r="10" customFormat="false" ht="15.75" hidden="false" customHeight="true" outlineLevel="0" collapsed="false">
      <c r="A10" s="33" t="s">
        <v>88</v>
      </c>
      <c r="B10" s="32" t="n">
        <f aca="false">AVERAGE(B5:B9)</f>
        <v>0.13</v>
      </c>
      <c r="C10" s="32" t="n">
        <f aca="false">AVERAGE(C5:C9)</f>
        <v>0.23</v>
      </c>
      <c r="D10" s="32" t="n">
        <f aca="false">AVERAGE(D5:D9)</f>
        <v>0.15</v>
      </c>
      <c r="E10" s="32" t="n">
        <f aca="false">AVERAGE(E5:E9)</f>
        <v>0.16</v>
      </c>
      <c r="F10" s="32" t="n">
        <f aca="false">AVERAGE(F5:F9)</f>
        <v>0.23</v>
      </c>
      <c r="G10" s="32" t="n">
        <f aca="false">AVERAGE(G5:G9)</f>
        <v>0.21</v>
      </c>
      <c r="H10" s="32" t="n">
        <f aca="false">AVERAGE(H5:H9)</f>
        <v>0.2</v>
      </c>
      <c r="I10" s="34" t="n">
        <f aca="false">AVERAGE(B5:H9)</f>
        <v>0.187142857142857</v>
      </c>
    </row>
    <row r="13" customFormat="false" ht="19.5" hidden="false" customHeight="true" outlineLevel="0" collapsed="false">
      <c r="A13" s="26" t="s">
        <v>89</v>
      </c>
      <c r="B13" s="26"/>
      <c r="C13" s="26"/>
      <c r="D13" s="26"/>
      <c r="E13" s="26"/>
      <c r="F13" s="26"/>
      <c r="G13" s="26"/>
      <c r="H13" s="26"/>
      <c r="I13" s="26"/>
    </row>
    <row r="14" customFormat="false" ht="30" hidden="false" customHeight="true" outlineLevel="0" collapsed="false">
      <c r="A14" s="27" t="s">
        <v>74</v>
      </c>
      <c r="B14" s="28" t="s">
        <v>75</v>
      </c>
      <c r="C14" s="28" t="s">
        <v>76</v>
      </c>
      <c r="D14" s="28" t="s">
        <v>77</v>
      </c>
      <c r="E14" s="28" t="s">
        <v>78</v>
      </c>
      <c r="F14" s="28" t="s">
        <v>79</v>
      </c>
      <c r="G14" s="28" t="s">
        <v>80</v>
      </c>
      <c r="H14" s="28" t="s">
        <v>81</v>
      </c>
      <c r="I14" s="29" t="s">
        <v>82</v>
      </c>
    </row>
    <row r="15" customFormat="false" ht="15.75" hidden="false" customHeight="true" outlineLevel="0" collapsed="false">
      <c r="A15" s="30" t="s">
        <v>83</v>
      </c>
      <c r="B15" s="31" t="n">
        <v>0.7</v>
      </c>
      <c r="C15" s="31" t="n">
        <v>0.3</v>
      </c>
      <c r="D15" s="31" t="n">
        <v>0.7</v>
      </c>
      <c r="E15" s="31" t="n">
        <v>0.6</v>
      </c>
      <c r="F15" s="31" t="n">
        <v>0.3</v>
      </c>
      <c r="G15" s="31" t="n">
        <v>0.3</v>
      </c>
      <c r="H15" s="31" t="n">
        <v>0.4</v>
      </c>
      <c r="I15" s="32" t="n">
        <f aca="false">AVERAGE(B15:H15)</f>
        <v>0.471428571428571</v>
      </c>
    </row>
    <row r="16" customFormat="false" ht="15.75" hidden="false" customHeight="true" outlineLevel="0" collapsed="false">
      <c r="A16" s="30" t="s">
        <v>84</v>
      </c>
      <c r="B16" s="31" t="n">
        <v>0.55</v>
      </c>
      <c r="C16" s="31" t="n">
        <v>0.4</v>
      </c>
      <c r="D16" s="31" t="n">
        <v>0.45</v>
      </c>
      <c r="E16" s="31" t="n">
        <v>0.6</v>
      </c>
      <c r="F16" s="31" t="n">
        <v>0.65</v>
      </c>
      <c r="G16" s="31" t="n">
        <v>0.4</v>
      </c>
      <c r="H16" s="31" t="n">
        <v>0.5</v>
      </c>
      <c r="I16" s="32" t="n">
        <f aca="false">AVERAGE(B16:H16)</f>
        <v>0.507142857142857</v>
      </c>
    </row>
    <row r="17" customFormat="false" ht="15.75" hidden="false" customHeight="true" outlineLevel="0" collapsed="false">
      <c r="A17" s="30" t="s">
        <v>85</v>
      </c>
      <c r="B17" s="31" t="n">
        <v>0.25</v>
      </c>
      <c r="C17" s="31" t="n">
        <v>0.25</v>
      </c>
      <c r="D17" s="31" t="n">
        <v>0.4</v>
      </c>
      <c r="E17" s="31" t="n">
        <v>0.35</v>
      </c>
      <c r="F17" s="31" t="n">
        <v>0.4</v>
      </c>
      <c r="G17" s="31" t="n">
        <v>0.2</v>
      </c>
      <c r="H17" s="31" t="n">
        <v>0.4</v>
      </c>
      <c r="I17" s="32" t="n">
        <f aca="false">AVERAGE(B17:H17)</f>
        <v>0.321428571428571</v>
      </c>
    </row>
    <row r="18" customFormat="false" ht="15.75" hidden="false" customHeight="true" outlineLevel="0" collapsed="false">
      <c r="A18" s="30" t="s">
        <v>86</v>
      </c>
      <c r="B18" s="31" t="n">
        <v>0.2</v>
      </c>
      <c r="C18" s="31" t="n">
        <v>0.2</v>
      </c>
      <c r="D18" s="31" t="n">
        <v>0.2</v>
      </c>
      <c r="E18" s="31" t="n">
        <v>0.32</v>
      </c>
      <c r="F18" s="31" t="n">
        <v>0.11</v>
      </c>
      <c r="G18" s="31" t="n">
        <v>0.2</v>
      </c>
      <c r="H18" s="31" t="n">
        <v>0.2</v>
      </c>
      <c r="I18" s="32" t="n">
        <f aca="false">AVERAGE(B18:H18)</f>
        <v>0.204285714285714</v>
      </c>
    </row>
    <row r="19" customFormat="false" ht="15.75" hidden="false" customHeight="true" outlineLevel="0" collapsed="false">
      <c r="A19" s="30" t="s">
        <v>87</v>
      </c>
      <c r="B19" s="31" t="n">
        <v>0.15</v>
      </c>
      <c r="C19" s="31" t="n">
        <v>0.15</v>
      </c>
      <c r="D19" s="31" t="n">
        <v>0.15</v>
      </c>
      <c r="E19" s="31" t="n">
        <v>0.15</v>
      </c>
      <c r="F19" s="31" t="n">
        <v>0.15</v>
      </c>
      <c r="G19" s="31" t="n">
        <v>0.2</v>
      </c>
      <c r="H19" s="31" t="n">
        <v>0.15</v>
      </c>
      <c r="I19" s="32" t="n">
        <f aca="false">AVERAGE(B19:H19)</f>
        <v>0.157142857142857</v>
      </c>
    </row>
    <row r="20" customFormat="false" ht="15.75" hidden="false" customHeight="true" outlineLevel="0" collapsed="false">
      <c r="A20" s="33" t="s">
        <v>88</v>
      </c>
      <c r="B20" s="32" t="n">
        <f aca="false">AVERAGE(B15:B19)</f>
        <v>0.37</v>
      </c>
      <c r="C20" s="32" t="n">
        <f aca="false">AVERAGE(C15:C19)</f>
        <v>0.26</v>
      </c>
      <c r="D20" s="32" t="n">
        <f aca="false">AVERAGE(D15:D19)</f>
        <v>0.38</v>
      </c>
      <c r="E20" s="32" t="n">
        <f aca="false">AVERAGE(E15:E19)</f>
        <v>0.404</v>
      </c>
      <c r="F20" s="32" t="n">
        <f aca="false">AVERAGE(F15:F19)</f>
        <v>0.322</v>
      </c>
      <c r="G20" s="32" t="n">
        <f aca="false">AVERAGE(G15:G19)</f>
        <v>0.26</v>
      </c>
      <c r="H20" s="32" t="n">
        <f aca="false">AVERAGE(H15:H19)</f>
        <v>0.33</v>
      </c>
      <c r="I20" s="34" t="n">
        <f aca="false">AVERAGE(B15:H19)</f>
        <v>0.332285714285714</v>
      </c>
    </row>
    <row r="23" customFormat="false" ht="19.5" hidden="false" customHeight="true" outlineLevel="0" collapsed="false">
      <c r="A23" s="26" t="s">
        <v>90</v>
      </c>
      <c r="B23" s="26"/>
      <c r="C23" s="26"/>
      <c r="D23" s="26"/>
      <c r="E23" s="26"/>
      <c r="F23" s="26"/>
      <c r="G23" s="26"/>
      <c r="H23" s="26"/>
      <c r="I23" s="26"/>
    </row>
    <row r="24" customFormat="false" ht="30" hidden="false" customHeight="true" outlineLevel="0" collapsed="false">
      <c r="A24" s="27" t="s">
        <v>74</v>
      </c>
      <c r="B24" s="28" t="s">
        <v>75</v>
      </c>
      <c r="C24" s="28" t="s">
        <v>76</v>
      </c>
      <c r="D24" s="28" t="s">
        <v>77</v>
      </c>
      <c r="E24" s="28" t="s">
        <v>78</v>
      </c>
      <c r="F24" s="28" t="s">
        <v>79</v>
      </c>
      <c r="G24" s="28" t="s">
        <v>80</v>
      </c>
      <c r="H24" s="28" t="s">
        <v>81</v>
      </c>
      <c r="I24" s="29" t="s">
        <v>82</v>
      </c>
    </row>
    <row r="25" customFormat="false" ht="15.75" hidden="false" customHeight="true" outlineLevel="0" collapsed="false">
      <c r="A25" s="30" t="s">
        <v>83</v>
      </c>
      <c r="B25" s="35" t="n">
        <v>0</v>
      </c>
      <c r="C25" s="35" t="n">
        <v>0</v>
      </c>
      <c r="D25" s="35" t="n">
        <v>0</v>
      </c>
      <c r="E25" s="35" t="n">
        <v>0</v>
      </c>
      <c r="F25" s="35" t="n">
        <v>0</v>
      </c>
      <c r="G25" s="35" t="n">
        <v>0</v>
      </c>
      <c r="H25" s="35" t="n">
        <v>0</v>
      </c>
      <c r="I25" s="32" t="n">
        <f aca="false">AVERAGE(B25:H25)</f>
        <v>0</v>
      </c>
    </row>
    <row r="26" customFormat="false" ht="15.75" hidden="false" customHeight="true" outlineLevel="0" collapsed="false">
      <c r="A26" s="30" t="s">
        <v>84</v>
      </c>
      <c r="B26" s="35" t="n">
        <v>0</v>
      </c>
      <c r="C26" s="35" t="n">
        <v>0</v>
      </c>
      <c r="D26" s="35" t="n">
        <v>0</v>
      </c>
      <c r="E26" s="35" t="n">
        <v>0</v>
      </c>
      <c r="F26" s="35" t="n">
        <v>0</v>
      </c>
      <c r="G26" s="35" t="n">
        <v>0</v>
      </c>
      <c r="H26" s="35" t="n">
        <v>0</v>
      </c>
      <c r="I26" s="32" t="n">
        <f aca="false">AVERAGE(B26:H26)</f>
        <v>0</v>
      </c>
    </row>
    <row r="27" customFormat="false" ht="15.75" hidden="false" customHeight="true" outlineLevel="0" collapsed="false">
      <c r="A27" s="30" t="s">
        <v>85</v>
      </c>
      <c r="B27" s="31" t="n">
        <v>0.4</v>
      </c>
      <c r="C27" s="31" t="n">
        <v>0.45</v>
      </c>
      <c r="D27" s="31" t="n">
        <v>0.25</v>
      </c>
      <c r="E27" s="31" t="n">
        <v>0.25</v>
      </c>
      <c r="F27" s="31" t="n">
        <v>0.3</v>
      </c>
      <c r="G27" s="31" t="n">
        <v>0.45</v>
      </c>
      <c r="H27" s="31" t="n">
        <v>0.25</v>
      </c>
      <c r="I27" s="32" t="n">
        <f aca="false">AVERAGE(B27:H27)</f>
        <v>0.335714285714286</v>
      </c>
    </row>
    <row r="28" customFormat="false" ht="15.75" hidden="false" customHeight="true" outlineLevel="0" collapsed="false">
      <c r="A28" s="30" t="s">
        <v>86</v>
      </c>
      <c r="B28" s="31" t="n">
        <v>0.55</v>
      </c>
      <c r="C28" s="31" t="n">
        <v>0.45</v>
      </c>
      <c r="D28" s="31" t="n">
        <v>0.5</v>
      </c>
      <c r="E28" s="31" t="n">
        <v>0.28</v>
      </c>
      <c r="F28" s="31" t="n">
        <v>0.47</v>
      </c>
      <c r="G28" s="31" t="n">
        <v>0.45</v>
      </c>
      <c r="H28" s="31" t="n">
        <v>0.45</v>
      </c>
      <c r="I28" s="32" t="n">
        <f aca="false">AVERAGE(B28:H28)</f>
        <v>0.45</v>
      </c>
    </row>
    <row r="29" customFormat="false" ht="15.75" hidden="false" customHeight="true" outlineLevel="0" collapsed="false">
      <c r="A29" s="30" t="s">
        <v>87</v>
      </c>
      <c r="B29" s="31" t="n">
        <v>0.45</v>
      </c>
      <c r="C29" s="31" t="n">
        <v>0.5</v>
      </c>
      <c r="D29" s="31" t="n">
        <v>0.45</v>
      </c>
      <c r="E29" s="31" t="n">
        <v>0.55</v>
      </c>
      <c r="F29" s="31" t="n">
        <v>0.45</v>
      </c>
      <c r="G29" s="31" t="n">
        <v>0.45</v>
      </c>
      <c r="H29" s="31" t="n">
        <v>0.45</v>
      </c>
      <c r="I29" s="32" t="n">
        <f aca="false">AVERAGE(B29:H29)</f>
        <v>0.471428571428572</v>
      </c>
    </row>
    <row r="30" customFormat="false" ht="15.75" hidden="false" customHeight="true" outlineLevel="0" collapsed="false">
      <c r="A30" s="33" t="s">
        <v>88</v>
      </c>
      <c r="B30" s="32" t="n">
        <f aca="false">AVERAGE(B25:B29)</f>
        <v>0.28</v>
      </c>
      <c r="C30" s="32" t="n">
        <f aca="false">AVERAGE(C25:C29)</f>
        <v>0.28</v>
      </c>
      <c r="D30" s="32" t="n">
        <f aca="false">AVERAGE(D25:D29)</f>
        <v>0.24</v>
      </c>
      <c r="E30" s="32" t="n">
        <f aca="false">AVERAGE(E25:E29)</f>
        <v>0.216</v>
      </c>
      <c r="F30" s="32" t="n">
        <f aca="false">AVERAGE(F25:F29)</f>
        <v>0.244</v>
      </c>
      <c r="G30" s="32" t="n">
        <f aca="false">AVERAGE(G25:G29)</f>
        <v>0.27</v>
      </c>
      <c r="H30" s="32" t="n">
        <f aca="false">AVERAGE(H25:H29)</f>
        <v>0.23</v>
      </c>
      <c r="I30" s="34" t="n">
        <f aca="false">AVERAGE(B25:H29)</f>
        <v>0.251428571428571</v>
      </c>
    </row>
    <row r="33" customFormat="false" ht="19.5" hidden="false" customHeight="true" outlineLevel="0" collapsed="false">
      <c r="A33" s="26" t="s">
        <v>91</v>
      </c>
      <c r="B33" s="26"/>
      <c r="C33" s="26"/>
      <c r="D33" s="26"/>
      <c r="E33" s="26"/>
      <c r="F33" s="26"/>
      <c r="G33" s="26"/>
      <c r="H33" s="26"/>
      <c r="I33" s="26"/>
    </row>
    <row r="34" customFormat="false" ht="30" hidden="false" customHeight="true" outlineLevel="0" collapsed="false">
      <c r="A34" s="27" t="s">
        <v>74</v>
      </c>
      <c r="B34" s="28" t="s">
        <v>75</v>
      </c>
      <c r="C34" s="28" t="s">
        <v>76</v>
      </c>
      <c r="D34" s="28" t="s">
        <v>77</v>
      </c>
      <c r="E34" s="28" t="s">
        <v>78</v>
      </c>
      <c r="F34" s="28" t="s">
        <v>79</v>
      </c>
      <c r="G34" s="28" t="s">
        <v>80</v>
      </c>
      <c r="H34" s="28" t="s">
        <v>81</v>
      </c>
      <c r="I34" s="29" t="s">
        <v>82</v>
      </c>
    </row>
    <row r="35" customFormat="false" ht="15.75" hidden="false" customHeight="true" outlineLevel="0" collapsed="false">
      <c r="A35" s="30" t="s">
        <v>83</v>
      </c>
      <c r="B35" s="35" t="n">
        <v>0</v>
      </c>
      <c r="C35" s="35" t="n">
        <v>0</v>
      </c>
      <c r="D35" s="35" t="n">
        <v>0</v>
      </c>
      <c r="E35" s="35" t="n">
        <v>0</v>
      </c>
      <c r="F35" s="35" t="n">
        <v>0</v>
      </c>
      <c r="G35" s="35" t="n">
        <v>0</v>
      </c>
      <c r="H35" s="35" t="n">
        <v>0</v>
      </c>
      <c r="I35" s="32" t="n">
        <f aca="false">AVERAGE(B35:H35)</f>
        <v>0</v>
      </c>
    </row>
    <row r="36" customFormat="false" ht="15.75" hidden="false" customHeight="true" outlineLevel="0" collapsed="false">
      <c r="A36" s="30" t="s">
        <v>84</v>
      </c>
      <c r="B36" s="31" t="n">
        <v>0.3</v>
      </c>
      <c r="C36" s="31" t="n">
        <v>0.4</v>
      </c>
      <c r="D36" s="31" t="n">
        <v>0.4</v>
      </c>
      <c r="E36" s="31" t="n">
        <v>0.25</v>
      </c>
      <c r="F36" s="31" t="n">
        <v>0.15</v>
      </c>
      <c r="G36" s="31" t="n">
        <v>0.45</v>
      </c>
      <c r="H36" s="31" t="n">
        <v>0.4</v>
      </c>
      <c r="I36" s="32" t="n">
        <f aca="false">AVERAGE(B36:H36)</f>
        <v>0.335714285714286</v>
      </c>
    </row>
    <row r="37" customFormat="false" ht="15.75" hidden="false" customHeight="true" outlineLevel="0" collapsed="false">
      <c r="A37" s="30" t="s">
        <v>85</v>
      </c>
      <c r="B37" s="31" t="n">
        <v>0.25</v>
      </c>
      <c r="C37" s="31" t="n">
        <v>0.2</v>
      </c>
      <c r="D37" s="31" t="n">
        <v>0.2</v>
      </c>
      <c r="E37" s="31" t="n">
        <v>0.3</v>
      </c>
      <c r="F37" s="31" t="n">
        <v>0.2</v>
      </c>
      <c r="G37" s="31" t="n">
        <v>0.25</v>
      </c>
      <c r="H37" s="31" t="n">
        <v>0.25</v>
      </c>
      <c r="I37" s="32" t="n">
        <f aca="false">AVERAGE(B37:H37)</f>
        <v>0.235714285714286</v>
      </c>
    </row>
    <row r="38" customFormat="false" ht="15.75" hidden="false" customHeight="true" outlineLevel="0" collapsed="false">
      <c r="A38" s="30" t="s">
        <v>86</v>
      </c>
      <c r="B38" s="31" t="n">
        <v>0.2</v>
      </c>
      <c r="C38" s="31" t="n">
        <v>0.3</v>
      </c>
      <c r="D38" s="31" t="n">
        <v>0.25</v>
      </c>
      <c r="E38" s="31" t="n">
        <v>0.3</v>
      </c>
      <c r="F38" s="31" t="n">
        <v>0.37</v>
      </c>
      <c r="G38" s="31" t="n">
        <v>0.3</v>
      </c>
      <c r="H38" s="31" t="n">
        <v>0.25</v>
      </c>
      <c r="I38" s="32" t="n">
        <f aca="false">AVERAGE(B38:H38)</f>
        <v>0.281428571428571</v>
      </c>
    </row>
    <row r="39" customFormat="false" ht="15.75" hidden="false" customHeight="true" outlineLevel="0" collapsed="false">
      <c r="A39" s="30" t="s">
        <v>87</v>
      </c>
      <c r="B39" s="31" t="n">
        <v>0.35</v>
      </c>
      <c r="C39" s="31" t="n">
        <v>0.25</v>
      </c>
      <c r="D39" s="31" t="n">
        <v>0.3</v>
      </c>
      <c r="E39" s="31" t="n">
        <v>0.25</v>
      </c>
      <c r="F39" s="31" t="n">
        <v>0.3</v>
      </c>
      <c r="G39" s="31" t="n">
        <v>0.3</v>
      </c>
      <c r="H39" s="31" t="n">
        <v>0.3</v>
      </c>
      <c r="I39" s="32" t="n">
        <f aca="false">AVERAGE(B39:H39)</f>
        <v>0.292857142857143</v>
      </c>
    </row>
    <row r="40" customFormat="false" ht="15.75" hidden="false" customHeight="true" outlineLevel="0" collapsed="false">
      <c r="A40" s="33" t="s">
        <v>88</v>
      </c>
      <c r="B40" s="32" t="n">
        <f aca="false">AVERAGE(B35:B39)</f>
        <v>0.22</v>
      </c>
      <c r="C40" s="32" t="n">
        <f aca="false">AVERAGE(C35:C39)</f>
        <v>0.23</v>
      </c>
      <c r="D40" s="32" t="n">
        <f aca="false">AVERAGE(D35:D39)</f>
        <v>0.23</v>
      </c>
      <c r="E40" s="32" t="n">
        <f aca="false">AVERAGE(E35:E39)</f>
        <v>0.22</v>
      </c>
      <c r="F40" s="32" t="n">
        <f aca="false">AVERAGE(F35:F39)</f>
        <v>0.204</v>
      </c>
      <c r="G40" s="32" t="n">
        <f aca="false">AVERAGE(G35:G39)</f>
        <v>0.26</v>
      </c>
      <c r="H40" s="32" t="n">
        <f aca="false">AVERAGE(H35:H39)</f>
        <v>0.24</v>
      </c>
      <c r="I40" s="34" t="n">
        <f aca="false">AVERAGE(B35:H39)</f>
        <v>0.229142857142857</v>
      </c>
    </row>
  </sheetData>
  <mergeCells count="5">
    <mergeCell ref="A1:Z1"/>
    <mergeCell ref="A3:I3"/>
    <mergeCell ref="A13:I13"/>
    <mergeCell ref="A23:I23"/>
    <mergeCell ref="A33:I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8" min="2" style="0" width="12"/>
    <col collapsed="false" customWidth="true" hidden="false" outlineLevel="0" max="9" min="9" style="0" width="10"/>
  </cols>
  <sheetData>
    <row r="1" customFormat="false" ht="27.75" hidden="false" customHeight="true" outlineLevel="0" collapsed="false">
      <c r="A1" s="36" t="s">
        <v>92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3" customFormat="false" ht="19.5" hidden="false" customHeight="true" outlineLevel="0" collapsed="false">
      <c r="A3" s="26" t="s">
        <v>73</v>
      </c>
      <c r="B3" s="26"/>
      <c r="C3" s="26"/>
      <c r="D3" s="26"/>
      <c r="E3" s="26"/>
      <c r="F3" s="26"/>
      <c r="G3" s="26"/>
      <c r="H3" s="26"/>
      <c r="I3" s="26"/>
    </row>
    <row r="4" customFormat="false" ht="30" hidden="false" customHeight="true" outlineLevel="0" collapsed="false">
      <c r="A4" s="27" t="s">
        <v>74</v>
      </c>
      <c r="B4" s="28" t="s">
        <v>75</v>
      </c>
      <c r="C4" s="28" t="s">
        <v>76</v>
      </c>
      <c r="D4" s="28" t="s">
        <v>77</v>
      </c>
      <c r="E4" s="28" t="s">
        <v>78</v>
      </c>
      <c r="F4" s="28" t="s">
        <v>79</v>
      </c>
      <c r="G4" s="28" t="s">
        <v>80</v>
      </c>
      <c r="H4" s="28" t="s">
        <v>81</v>
      </c>
      <c r="I4" s="29" t="s">
        <v>82</v>
      </c>
    </row>
    <row r="5" customFormat="false" ht="15.75" hidden="false" customHeight="true" outlineLevel="0" collapsed="false">
      <c r="A5" s="30" t="s">
        <v>83</v>
      </c>
      <c r="B5" s="37" t="n">
        <v>0.6</v>
      </c>
      <c r="C5" s="37" t="n">
        <v>0.6</v>
      </c>
      <c r="D5" s="37" t="n">
        <v>0.6</v>
      </c>
      <c r="E5" s="37" t="n">
        <v>0.65</v>
      </c>
      <c r="F5" s="37" t="n">
        <v>0.65</v>
      </c>
      <c r="G5" s="37" t="n">
        <v>0.7</v>
      </c>
      <c r="H5" s="37" t="n">
        <v>0.7</v>
      </c>
      <c r="I5" s="32" t="n">
        <f aca="false">AVERAGE(B5:H5)</f>
        <v>0.642857142857143</v>
      </c>
    </row>
    <row r="6" customFormat="false" ht="15.75" hidden="false" customHeight="true" outlineLevel="0" collapsed="false">
      <c r="A6" s="30" t="s">
        <v>84</v>
      </c>
      <c r="B6" s="37" t="n">
        <v>0.15</v>
      </c>
      <c r="C6" s="37" t="n">
        <v>0.15</v>
      </c>
      <c r="D6" s="37" t="n">
        <v>0.15</v>
      </c>
      <c r="E6" s="37" t="n">
        <v>0.2</v>
      </c>
      <c r="F6" s="37" t="n">
        <v>0.2</v>
      </c>
      <c r="G6" s="37" t="n">
        <v>0.25</v>
      </c>
      <c r="H6" s="37" t="n">
        <v>0.25</v>
      </c>
      <c r="I6" s="32" t="n">
        <f aca="false">AVERAGE(B6:H6)</f>
        <v>0.192857142857143</v>
      </c>
    </row>
    <row r="7" customFormat="false" ht="15.75" hidden="false" customHeight="true" outlineLevel="0" collapsed="false">
      <c r="A7" s="30" t="s">
        <v>85</v>
      </c>
      <c r="B7" s="37" t="n">
        <v>0.05</v>
      </c>
      <c r="C7" s="37" t="n">
        <v>0.05</v>
      </c>
      <c r="D7" s="37" t="n">
        <v>0.05</v>
      </c>
      <c r="E7" s="37" t="n">
        <v>0.1</v>
      </c>
      <c r="F7" s="37" t="n">
        <v>0.1</v>
      </c>
      <c r="G7" s="37" t="n">
        <v>0.15</v>
      </c>
      <c r="H7" s="37" t="n">
        <v>0.15</v>
      </c>
      <c r="I7" s="32" t="n">
        <f aca="false">AVERAGE(B7:H7)</f>
        <v>0.0928571428571429</v>
      </c>
    </row>
    <row r="8" customFormat="false" ht="15.75" hidden="false" customHeight="true" outlineLevel="0" collapsed="false">
      <c r="A8" s="30" t="s">
        <v>86</v>
      </c>
      <c r="B8" s="37" t="n">
        <v>0.05</v>
      </c>
      <c r="C8" s="37" t="n">
        <v>0.05</v>
      </c>
      <c r="D8" s="37" t="n">
        <v>0.05</v>
      </c>
      <c r="E8" s="37" t="n">
        <v>0.05</v>
      </c>
      <c r="F8" s="37" t="n">
        <v>0.05</v>
      </c>
      <c r="G8" s="37" t="n">
        <v>0.1</v>
      </c>
      <c r="H8" s="37" t="n">
        <v>0.1</v>
      </c>
      <c r="I8" s="32" t="n">
        <f aca="false">AVERAGE(B8:H8)</f>
        <v>0.0642857142857143</v>
      </c>
    </row>
    <row r="9" customFormat="false" ht="15.75" hidden="false" customHeight="true" outlineLevel="0" collapsed="false">
      <c r="A9" s="30" t="s">
        <v>87</v>
      </c>
      <c r="B9" s="37" t="n">
        <v>0.05</v>
      </c>
      <c r="C9" s="37" t="n">
        <v>0.05</v>
      </c>
      <c r="D9" s="37" t="n">
        <v>0.05</v>
      </c>
      <c r="E9" s="37" t="n">
        <v>0.05</v>
      </c>
      <c r="F9" s="37" t="n">
        <v>0.05</v>
      </c>
      <c r="G9" s="37" t="n">
        <v>0.15</v>
      </c>
      <c r="H9" s="37" t="n">
        <v>0.15</v>
      </c>
      <c r="I9" s="32" t="n">
        <f aca="false">AVERAGE(B9:H9)</f>
        <v>0.0785714285714286</v>
      </c>
    </row>
    <row r="10" customFormat="false" ht="15.75" hidden="false" customHeight="true" outlineLevel="0" collapsed="false">
      <c r="A10" s="33" t="s">
        <v>88</v>
      </c>
      <c r="B10" s="32" t="n">
        <f aca="false">AVERAGE(B5:B9)</f>
        <v>0.18</v>
      </c>
      <c r="C10" s="32" t="n">
        <f aca="false">AVERAGE(C5:C9)</f>
        <v>0.18</v>
      </c>
      <c r="D10" s="32" t="n">
        <f aca="false">AVERAGE(D5:D9)</f>
        <v>0.18</v>
      </c>
      <c r="E10" s="32" t="n">
        <f aca="false">AVERAGE(E5:E9)</f>
        <v>0.21</v>
      </c>
      <c r="F10" s="32" t="n">
        <f aca="false">AVERAGE(F5:F9)</f>
        <v>0.21</v>
      </c>
      <c r="G10" s="32" t="n">
        <f aca="false">AVERAGE(G5:G9)</f>
        <v>0.27</v>
      </c>
      <c r="H10" s="32" t="n">
        <f aca="false">AVERAGE(H5:H9)</f>
        <v>0.27</v>
      </c>
      <c r="I10" s="34" t="n">
        <f aca="false">AVERAGE(B5:H9)</f>
        <v>0.214285714285714</v>
      </c>
    </row>
    <row r="13" customFormat="false" ht="19.5" hidden="false" customHeight="true" outlineLevel="0" collapsed="false">
      <c r="A13" s="26" t="s">
        <v>89</v>
      </c>
      <c r="B13" s="26"/>
      <c r="C13" s="26"/>
      <c r="D13" s="26"/>
      <c r="E13" s="26"/>
      <c r="F13" s="26"/>
      <c r="G13" s="26"/>
      <c r="H13" s="26"/>
      <c r="I13" s="26"/>
    </row>
    <row r="14" customFormat="false" ht="30" hidden="false" customHeight="true" outlineLevel="0" collapsed="false">
      <c r="A14" s="27" t="s">
        <v>74</v>
      </c>
      <c r="B14" s="28" t="s">
        <v>75</v>
      </c>
      <c r="C14" s="28" t="s">
        <v>76</v>
      </c>
      <c r="D14" s="28" t="s">
        <v>77</v>
      </c>
      <c r="E14" s="28" t="s">
        <v>78</v>
      </c>
      <c r="F14" s="28" t="s">
        <v>79</v>
      </c>
      <c r="G14" s="28" t="s">
        <v>80</v>
      </c>
      <c r="H14" s="28" t="s">
        <v>81</v>
      </c>
      <c r="I14" s="29" t="s">
        <v>82</v>
      </c>
    </row>
    <row r="15" customFormat="false" ht="15.75" hidden="false" customHeight="true" outlineLevel="0" collapsed="false">
      <c r="A15" s="30" t="s">
        <v>83</v>
      </c>
      <c r="B15" s="37" t="n">
        <v>0.4</v>
      </c>
      <c r="C15" s="37" t="n">
        <v>0.4</v>
      </c>
      <c r="D15" s="37" t="n">
        <v>0.4</v>
      </c>
      <c r="E15" s="37" t="n">
        <v>0.35</v>
      </c>
      <c r="F15" s="37" t="n">
        <v>0.35</v>
      </c>
      <c r="G15" s="37" t="n">
        <v>0.3</v>
      </c>
      <c r="H15" s="37" t="n">
        <v>0.3</v>
      </c>
      <c r="I15" s="32" t="n">
        <f aca="false">AVERAGE(B15:H15)</f>
        <v>0.357142857142857</v>
      </c>
    </row>
    <row r="16" customFormat="false" ht="15.75" hidden="false" customHeight="true" outlineLevel="0" collapsed="false">
      <c r="A16" s="30" t="s">
        <v>84</v>
      </c>
      <c r="B16" s="37" t="n">
        <v>0.75</v>
      </c>
      <c r="C16" s="37" t="n">
        <v>0.75</v>
      </c>
      <c r="D16" s="37" t="n">
        <v>0.75</v>
      </c>
      <c r="E16" s="37" t="n">
        <v>0.7</v>
      </c>
      <c r="F16" s="37" t="n">
        <v>0.7</v>
      </c>
      <c r="G16" s="37" t="n">
        <v>0.7</v>
      </c>
      <c r="H16" s="37" t="n">
        <v>0.7</v>
      </c>
      <c r="I16" s="32" t="n">
        <f aca="false">AVERAGE(B16:H16)</f>
        <v>0.721428571428571</v>
      </c>
    </row>
    <row r="17" customFormat="false" ht="15.75" hidden="false" customHeight="true" outlineLevel="0" collapsed="false">
      <c r="A17" s="30" t="s">
        <v>85</v>
      </c>
      <c r="B17" s="37" t="n">
        <v>0.55</v>
      </c>
      <c r="C17" s="37" t="n">
        <v>0.55</v>
      </c>
      <c r="D17" s="37" t="n">
        <v>0.55</v>
      </c>
      <c r="E17" s="37" t="n">
        <v>0.5</v>
      </c>
      <c r="F17" s="37" t="n">
        <v>0.5</v>
      </c>
      <c r="G17" s="37" t="n">
        <v>0.5</v>
      </c>
      <c r="H17" s="37" t="n">
        <v>0.5</v>
      </c>
      <c r="I17" s="32" t="n">
        <f aca="false">AVERAGE(B17:H17)</f>
        <v>0.521428571428572</v>
      </c>
    </row>
    <row r="18" customFormat="false" ht="15.75" hidden="false" customHeight="true" outlineLevel="0" collapsed="false">
      <c r="A18" s="30" t="s">
        <v>86</v>
      </c>
      <c r="B18" s="37" t="n">
        <v>0.35</v>
      </c>
      <c r="C18" s="37" t="n">
        <v>0.35</v>
      </c>
      <c r="D18" s="37" t="n">
        <v>0.35</v>
      </c>
      <c r="E18" s="37" t="n">
        <v>0.3</v>
      </c>
      <c r="F18" s="37" t="n">
        <v>0.3</v>
      </c>
      <c r="G18" s="37" t="n">
        <v>0.4</v>
      </c>
      <c r="H18" s="37" t="n">
        <v>0.4</v>
      </c>
      <c r="I18" s="32" t="n">
        <f aca="false">AVERAGE(B18:H18)</f>
        <v>0.35</v>
      </c>
    </row>
    <row r="19" customFormat="false" ht="15.75" hidden="false" customHeight="true" outlineLevel="0" collapsed="false">
      <c r="A19" s="30" t="s">
        <v>87</v>
      </c>
      <c r="B19" s="37" t="n">
        <v>0.2</v>
      </c>
      <c r="C19" s="37" t="n">
        <v>0.2</v>
      </c>
      <c r="D19" s="37" t="n">
        <v>0.2</v>
      </c>
      <c r="E19" s="37" t="n">
        <v>0.1</v>
      </c>
      <c r="F19" s="37" t="n">
        <v>0.1</v>
      </c>
      <c r="G19" s="37" t="n">
        <v>0.1</v>
      </c>
      <c r="H19" s="37" t="n">
        <v>0.1</v>
      </c>
      <c r="I19" s="32" t="n">
        <f aca="false">AVERAGE(B19:H19)</f>
        <v>0.142857142857143</v>
      </c>
    </row>
    <row r="20" customFormat="false" ht="15.75" hidden="false" customHeight="true" outlineLevel="0" collapsed="false">
      <c r="A20" s="33" t="s">
        <v>88</v>
      </c>
      <c r="B20" s="32" t="n">
        <f aca="false">AVERAGE(B15:B19)</f>
        <v>0.45</v>
      </c>
      <c r="C20" s="32" t="n">
        <f aca="false">AVERAGE(C15:C19)</f>
        <v>0.45</v>
      </c>
      <c r="D20" s="32" t="n">
        <f aca="false">AVERAGE(D15:D19)</f>
        <v>0.45</v>
      </c>
      <c r="E20" s="32" t="n">
        <f aca="false">AVERAGE(E15:E19)</f>
        <v>0.39</v>
      </c>
      <c r="F20" s="32" t="n">
        <f aca="false">AVERAGE(F15:F19)</f>
        <v>0.39</v>
      </c>
      <c r="G20" s="32" t="n">
        <f aca="false">AVERAGE(G15:G19)</f>
        <v>0.4</v>
      </c>
      <c r="H20" s="32" t="n">
        <f aca="false">AVERAGE(H15:H19)</f>
        <v>0.4</v>
      </c>
      <c r="I20" s="34" t="n">
        <f aca="false">AVERAGE(B15:H19)</f>
        <v>0.418571428571429</v>
      </c>
    </row>
    <row r="23" customFormat="false" ht="19.5" hidden="false" customHeight="true" outlineLevel="0" collapsed="false">
      <c r="A23" s="26" t="s">
        <v>90</v>
      </c>
      <c r="B23" s="26"/>
      <c r="C23" s="26"/>
      <c r="D23" s="26"/>
      <c r="E23" s="26"/>
      <c r="F23" s="26"/>
      <c r="G23" s="26"/>
      <c r="H23" s="26"/>
      <c r="I23" s="26"/>
    </row>
    <row r="24" customFormat="false" ht="30" hidden="false" customHeight="true" outlineLevel="0" collapsed="false">
      <c r="A24" s="27" t="s">
        <v>74</v>
      </c>
      <c r="B24" s="28" t="s">
        <v>75</v>
      </c>
      <c r="C24" s="28" t="s">
        <v>76</v>
      </c>
      <c r="D24" s="28" t="s">
        <v>77</v>
      </c>
      <c r="E24" s="28" t="s">
        <v>78</v>
      </c>
      <c r="F24" s="28" t="s">
        <v>79</v>
      </c>
      <c r="G24" s="28" t="s">
        <v>80</v>
      </c>
      <c r="H24" s="28" t="s">
        <v>81</v>
      </c>
      <c r="I24" s="29" t="s">
        <v>82</v>
      </c>
    </row>
    <row r="25" customFormat="false" ht="15.75" hidden="false" customHeight="true" outlineLevel="0" collapsed="false">
      <c r="A25" s="30" t="s">
        <v>83</v>
      </c>
      <c r="B25" s="35" t="n">
        <v>0</v>
      </c>
      <c r="C25" s="35" t="n">
        <v>0</v>
      </c>
      <c r="D25" s="35" t="n">
        <v>0</v>
      </c>
      <c r="E25" s="35" t="n">
        <v>0</v>
      </c>
      <c r="F25" s="35" t="n">
        <v>0</v>
      </c>
      <c r="G25" s="35" t="n">
        <v>0</v>
      </c>
      <c r="H25" s="35" t="n">
        <v>0</v>
      </c>
      <c r="I25" s="32" t="n">
        <f aca="false">AVERAGE(B25:H25)</f>
        <v>0</v>
      </c>
    </row>
    <row r="26" customFormat="false" ht="15.75" hidden="false" customHeight="true" outlineLevel="0" collapsed="false">
      <c r="A26" s="30" t="s">
        <v>84</v>
      </c>
      <c r="B26" s="35" t="n">
        <v>0</v>
      </c>
      <c r="C26" s="35" t="n">
        <v>0</v>
      </c>
      <c r="D26" s="35" t="n">
        <v>0</v>
      </c>
      <c r="E26" s="35" t="n">
        <v>0</v>
      </c>
      <c r="F26" s="35" t="n">
        <v>0</v>
      </c>
      <c r="G26" s="35" t="n">
        <v>0</v>
      </c>
      <c r="H26" s="35" t="n">
        <v>0</v>
      </c>
      <c r="I26" s="32" t="n">
        <f aca="false">AVERAGE(B26:H26)</f>
        <v>0</v>
      </c>
    </row>
    <row r="27" customFormat="false" ht="15.75" hidden="false" customHeight="true" outlineLevel="0" collapsed="false">
      <c r="A27" s="30" t="s">
        <v>85</v>
      </c>
      <c r="B27" s="37" t="n">
        <v>0.35</v>
      </c>
      <c r="C27" s="37" t="n">
        <v>0.35</v>
      </c>
      <c r="D27" s="37" t="n">
        <v>0.35</v>
      </c>
      <c r="E27" s="37" t="n">
        <v>0.35</v>
      </c>
      <c r="F27" s="37" t="n">
        <v>0.35</v>
      </c>
      <c r="G27" s="37" t="n">
        <v>0.3</v>
      </c>
      <c r="H27" s="37" t="n">
        <v>0.3</v>
      </c>
      <c r="I27" s="32" t="n">
        <f aca="false">AVERAGE(B27:H27)</f>
        <v>0.335714285714286</v>
      </c>
    </row>
    <row r="28" customFormat="false" ht="15.75" hidden="false" customHeight="true" outlineLevel="0" collapsed="false">
      <c r="A28" s="30" t="s">
        <v>86</v>
      </c>
      <c r="B28" s="37" t="n">
        <v>0.45</v>
      </c>
      <c r="C28" s="37" t="n">
        <v>0.45</v>
      </c>
      <c r="D28" s="37" t="n">
        <v>0.45</v>
      </c>
      <c r="E28" s="37" t="n">
        <v>0.45</v>
      </c>
      <c r="F28" s="37" t="n">
        <v>0.45</v>
      </c>
      <c r="G28" s="37" t="n">
        <v>0.35</v>
      </c>
      <c r="H28" s="37" t="n">
        <v>0.35</v>
      </c>
      <c r="I28" s="32" t="n">
        <f aca="false">AVERAGE(B28:H28)</f>
        <v>0.421428571428571</v>
      </c>
    </row>
    <row r="29" customFormat="false" ht="15.75" hidden="false" customHeight="true" outlineLevel="0" collapsed="false">
      <c r="A29" s="30" t="s">
        <v>87</v>
      </c>
      <c r="B29" s="37" t="n">
        <v>0.55</v>
      </c>
      <c r="C29" s="37" t="n">
        <v>0.55</v>
      </c>
      <c r="D29" s="37" t="n">
        <v>0.55</v>
      </c>
      <c r="E29" s="37" t="n">
        <v>0.55</v>
      </c>
      <c r="F29" s="37" t="n">
        <v>0.55</v>
      </c>
      <c r="G29" s="37" t="n">
        <v>0.45</v>
      </c>
      <c r="H29" s="37" t="n">
        <v>0.45</v>
      </c>
      <c r="I29" s="32" t="n">
        <f aca="false">AVERAGE(B29:H29)</f>
        <v>0.521428571428572</v>
      </c>
    </row>
    <row r="30" customFormat="false" ht="15.75" hidden="false" customHeight="true" outlineLevel="0" collapsed="false">
      <c r="A30" s="33" t="s">
        <v>88</v>
      </c>
      <c r="B30" s="32" t="n">
        <f aca="false">AVERAGE(B25:B29)</f>
        <v>0.27</v>
      </c>
      <c r="C30" s="32" t="n">
        <f aca="false">AVERAGE(C25:C29)</f>
        <v>0.27</v>
      </c>
      <c r="D30" s="32" t="n">
        <f aca="false">AVERAGE(D25:D29)</f>
        <v>0.27</v>
      </c>
      <c r="E30" s="32" t="n">
        <f aca="false">AVERAGE(E25:E29)</f>
        <v>0.27</v>
      </c>
      <c r="F30" s="32" t="n">
        <f aca="false">AVERAGE(F25:F29)</f>
        <v>0.27</v>
      </c>
      <c r="G30" s="32" t="n">
        <f aca="false">AVERAGE(G25:G29)</f>
        <v>0.22</v>
      </c>
      <c r="H30" s="32" t="n">
        <f aca="false">AVERAGE(H25:H29)</f>
        <v>0.22</v>
      </c>
      <c r="I30" s="34" t="n">
        <f aca="false">AVERAGE(B25:H29)</f>
        <v>0.255714285714286</v>
      </c>
    </row>
    <row r="33" customFormat="false" ht="19.5" hidden="false" customHeight="true" outlineLevel="0" collapsed="false">
      <c r="A33" s="26" t="s">
        <v>91</v>
      </c>
      <c r="B33" s="26"/>
      <c r="C33" s="26"/>
      <c r="D33" s="26"/>
      <c r="E33" s="26"/>
      <c r="F33" s="26"/>
      <c r="G33" s="26"/>
      <c r="H33" s="26"/>
      <c r="I33" s="26"/>
    </row>
    <row r="34" customFormat="false" ht="30" hidden="false" customHeight="true" outlineLevel="0" collapsed="false">
      <c r="A34" s="27" t="s">
        <v>74</v>
      </c>
      <c r="B34" s="28" t="s">
        <v>75</v>
      </c>
      <c r="C34" s="28" t="s">
        <v>76</v>
      </c>
      <c r="D34" s="28" t="s">
        <v>77</v>
      </c>
      <c r="E34" s="28" t="s">
        <v>78</v>
      </c>
      <c r="F34" s="28" t="s">
        <v>79</v>
      </c>
      <c r="G34" s="28" t="s">
        <v>80</v>
      </c>
      <c r="H34" s="28" t="s">
        <v>81</v>
      </c>
      <c r="I34" s="29" t="s">
        <v>82</v>
      </c>
    </row>
    <row r="35" customFormat="false" ht="15.75" hidden="false" customHeight="true" outlineLevel="0" collapsed="false">
      <c r="A35" s="30" t="s">
        <v>83</v>
      </c>
      <c r="B35" s="35" t="n">
        <v>0</v>
      </c>
      <c r="C35" s="35" t="n">
        <v>0</v>
      </c>
      <c r="D35" s="35" t="n">
        <v>0</v>
      </c>
      <c r="E35" s="35" t="n">
        <v>0</v>
      </c>
      <c r="F35" s="35" t="n">
        <v>0</v>
      </c>
      <c r="G35" s="35" t="n">
        <v>0</v>
      </c>
      <c r="H35" s="35" t="n">
        <v>0</v>
      </c>
      <c r="I35" s="32" t="n">
        <f aca="false">AVERAGE(B35:H35)</f>
        <v>0</v>
      </c>
    </row>
    <row r="36" customFormat="false" ht="15.75" hidden="false" customHeight="true" outlineLevel="0" collapsed="false">
      <c r="A36" s="30" t="s">
        <v>84</v>
      </c>
      <c r="B36" s="37" t="n">
        <v>0.1</v>
      </c>
      <c r="C36" s="37" t="n">
        <v>0.1</v>
      </c>
      <c r="D36" s="37" t="n">
        <v>0.1</v>
      </c>
      <c r="E36" s="37" t="n">
        <v>0.1</v>
      </c>
      <c r="F36" s="37" t="n">
        <v>0.1</v>
      </c>
      <c r="G36" s="37" t="n">
        <v>0.05</v>
      </c>
      <c r="H36" s="37" t="n">
        <v>0.05</v>
      </c>
      <c r="I36" s="32" t="n">
        <f aca="false">AVERAGE(B36:H36)</f>
        <v>0.0857142857142857</v>
      </c>
    </row>
    <row r="37" customFormat="false" ht="15.75" hidden="false" customHeight="true" outlineLevel="0" collapsed="false">
      <c r="A37" s="30" t="s">
        <v>85</v>
      </c>
      <c r="B37" s="37" t="n">
        <v>0.05</v>
      </c>
      <c r="C37" s="37" t="n">
        <v>0.05</v>
      </c>
      <c r="D37" s="37" t="n">
        <v>0.05</v>
      </c>
      <c r="E37" s="37" t="n">
        <v>0.05</v>
      </c>
      <c r="F37" s="37" t="n">
        <v>0.05</v>
      </c>
      <c r="G37" s="37" t="n">
        <v>0.05</v>
      </c>
      <c r="H37" s="37" t="n">
        <v>0.05</v>
      </c>
      <c r="I37" s="32" t="n">
        <f aca="false">AVERAGE(B37:H37)</f>
        <v>0.05</v>
      </c>
    </row>
    <row r="38" customFormat="false" ht="15.75" hidden="false" customHeight="true" outlineLevel="0" collapsed="false">
      <c r="A38" s="30" t="s">
        <v>86</v>
      </c>
      <c r="B38" s="37" t="n">
        <v>0.15</v>
      </c>
      <c r="C38" s="37" t="n">
        <v>0.15</v>
      </c>
      <c r="D38" s="37" t="n">
        <v>0.15</v>
      </c>
      <c r="E38" s="37" t="n">
        <v>0.2</v>
      </c>
      <c r="F38" s="37" t="n">
        <v>0.2</v>
      </c>
      <c r="G38" s="37" t="n">
        <v>0.15</v>
      </c>
      <c r="H38" s="37" t="n">
        <v>0.15</v>
      </c>
      <c r="I38" s="32" t="n">
        <f aca="false">AVERAGE(B38:H38)</f>
        <v>0.164285714285714</v>
      </c>
    </row>
    <row r="39" customFormat="false" ht="15.75" hidden="false" customHeight="true" outlineLevel="0" collapsed="false">
      <c r="A39" s="30" t="s">
        <v>87</v>
      </c>
      <c r="B39" s="37" t="n">
        <v>0.2</v>
      </c>
      <c r="C39" s="37" t="n">
        <v>0.2</v>
      </c>
      <c r="D39" s="37" t="n">
        <v>0.2</v>
      </c>
      <c r="E39" s="37" t="n">
        <v>0.3</v>
      </c>
      <c r="F39" s="37" t="n">
        <v>0.3</v>
      </c>
      <c r="G39" s="37" t="n">
        <v>0.3</v>
      </c>
      <c r="H39" s="37" t="n">
        <v>0.3</v>
      </c>
      <c r="I39" s="32" t="n">
        <f aca="false">AVERAGE(B39:H39)</f>
        <v>0.257142857142857</v>
      </c>
    </row>
    <row r="40" customFormat="false" ht="15.75" hidden="false" customHeight="true" outlineLevel="0" collapsed="false">
      <c r="A40" s="33" t="s">
        <v>88</v>
      </c>
      <c r="B40" s="32" t="n">
        <f aca="false">AVERAGE(B35:B39)</f>
        <v>0.1</v>
      </c>
      <c r="C40" s="32" t="n">
        <f aca="false">AVERAGE(C35:C39)</f>
        <v>0.1</v>
      </c>
      <c r="D40" s="32" t="n">
        <f aca="false">AVERAGE(D35:D39)</f>
        <v>0.1</v>
      </c>
      <c r="E40" s="32" t="n">
        <f aca="false">AVERAGE(E35:E39)</f>
        <v>0.13</v>
      </c>
      <c r="F40" s="32" t="n">
        <f aca="false">AVERAGE(F35:F39)</f>
        <v>0.13</v>
      </c>
      <c r="G40" s="32" t="n">
        <f aca="false">AVERAGE(G35:G39)</f>
        <v>0.11</v>
      </c>
      <c r="H40" s="32" t="n">
        <f aca="false">AVERAGE(H35:H39)</f>
        <v>0.11</v>
      </c>
      <c r="I40" s="34" t="n">
        <f aca="false">AVERAGE(B35:H39)</f>
        <v>0.111428571428571</v>
      </c>
    </row>
  </sheetData>
  <mergeCells count="5">
    <mergeCell ref="A1:Z1"/>
    <mergeCell ref="A3:I3"/>
    <mergeCell ref="A13:I13"/>
    <mergeCell ref="A23:I23"/>
    <mergeCell ref="A33:I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8" min="2" style="0" width="12"/>
    <col collapsed="false" customWidth="true" hidden="false" outlineLevel="0" max="9" min="9" style="0" width="10"/>
  </cols>
  <sheetData>
    <row r="1" customFormat="false" ht="27.75" hidden="false" customHeight="true" outlineLevel="0" collapsed="false">
      <c r="A1" s="36" t="s">
        <v>93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3" customFormat="false" ht="19.5" hidden="false" customHeight="true" outlineLevel="0" collapsed="false">
      <c r="A3" s="26" t="s">
        <v>94</v>
      </c>
      <c r="B3" s="26"/>
      <c r="C3" s="26"/>
      <c r="D3" s="26"/>
      <c r="E3" s="26"/>
      <c r="F3" s="26"/>
      <c r="G3" s="26"/>
      <c r="H3" s="26"/>
      <c r="I3" s="26"/>
    </row>
    <row r="4" customFormat="false" ht="30" hidden="false" customHeight="true" outlineLevel="0" collapsed="false">
      <c r="A4" s="27" t="s">
        <v>74</v>
      </c>
      <c r="B4" s="28" t="s">
        <v>75</v>
      </c>
      <c r="C4" s="28" t="s">
        <v>76</v>
      </c>
      <c r="D4" s="28" t="s">
        <v>77</v>
      </c>
      <c r="E4" s="28" t="s">
        <v>78</v>
      </c>
      <c r="F4" s="28" t="s">
        <v>79</v>
      </c>
      <c r="G4" s="28" t="s">
        <v>80</v>
      </c>
      <c r="H4" s="28" t="s">
        <v>81</v>
      </c>
      <c r="I4" s="29" t="s">
        <v>82</v>
      </c>
    </row>
    <row r="5" customFormat="false" ht="15.75" hidden="false" customHeight="true" outlineLevel="0" collapsed="false">
      <c r="A5" s="30" t="s">
        <v>83</v>
      </c>
      <c r="B5" s="38" t="n">
        <v>-0.3</v>
      </c>
      <c r="C5" s="39" t="n">
        <v>0.1</v>
      </c>
      <c r="D5" s="38" t="n">
        <v>-0.3</v>
      </c>
      <c r="E5" s="38" t="n">
        <v>-0.25</v>
      </c>
      <c r="F5" s="39" t="n">
        <v>0.0499999999999999</v>
      </c>
      <c r="G5" s="40" t="n">
        <v>0</v>
      </c>
      <c r="H5" s="38" t="n">
        <v>-0.1</v>
      </c>
      <c r="I5" s="41" t="n">
        <f aca="false">AVERAGE(B5:H5)</f>
        <v>-0.114285714285714</v>
      </c>
    </row>
    <row r="6" customFormat="false" ht="15.75" hidden="false" customHeight="true" outlineLevel="0" collapsed="false">
      <c r="A6" s="30" t="s">
        <v>84</v>
      </c>
      <c r="B6" s="40" t="n">
        <v>0</v>
      </c>
      <c r="C6" s="39" t="n">
        <v>0.05</v>
      </c>
      <c r="D6" s="40" t="n">
        <v>0</v>
      </c>
      <c r="E6" s="38" t="n">
        <v>-0.05</v>
      </c>
      <c r="F6" s="40" t="n">
        <v>0</v>
      </c>
      <c r="G6" s="38" t="n">
        <v>-0.1</v>
      </c>
      <c r="H6" s="38" t="n">
        <v>-0.15</v>
      </c>
      <c r="I6" s="41" t="n">
        <f aca="false">AVERAGE(B6:H6)</f>
        <v>-0.0357142857142857</v>
      </c>
    </row>
    <row r="7" customFormat="false" ht="15.75" hidden="false" customHeight="true" outlineLevel="0" collapsed="false">
      <c r="A7" s="30" t="s">
        <v>85</v>
      </c>
      <c r="B7" s="39" t="n">
        <v>0.05</v>
      </c>
      <c r="C7" s="39" t="n">
        <v>0.05</v>
      </c>
      <c r="D7" s="39" t="n">
        <v>0.1</v>
      </c>
      <c r="E7" s="40" t="n">
        <v>0</v>
      </c>
      <c r="F7" s="40" t="n">
        <v>0</v>
      </c>
      <c r="G7" s="38" t="n">
        <v>-0.05</v>
      </c>
      <c r="H7" s="38" t="n">
        <v>-0.05</v>
      </c>
      <c r="I7" s="41" t="n">
        <f aca="false">AVERAGE(B7:H7)</f>
        <v>0.0142857142857143</v>
      </c>
    </row>
    <row r="8" customFormat="false" ht="15.75" hidden="false" customHeight="true" outlineLevel="0" collapsed="false">
      <c r="A8" s="30" t="s">
        <v>86</v>
      </c>
      <c r="B8" s="40" t="n">
        <v>0</v>
      </c>
      <c r="C8" s="40" t="n">
        <v>0</v>
      </c>
      <c r="D8" s="40" t="n">
        <v>0</v>
      </c>
      <c r="E8" s="39" t="n">
        <v>0.05</v>
      </c>
      <c r="F8" s="40" t="n">
        <v>0</v>
      </c>
      <c r="G8" s="38" t="n">
        <v>-0.05</v>
      </c>
      <c r="H8" s="40" t="n">
        <v>0</v>
      </c>
      <c r="I8" s="41" t="n">
        <f aca="false">AVERAGE(B8:H8)</f>
        <v>0</v>
      </c>
    </row>
    <row r="9" customFormat="false" ht="15.75" hidden="false" customHeight="true" outlineLevel="0" collapsed="false">
      <c r="A9" s="30" t="s">
        <v>87</v>
      </c>
      <c r="B9" s="40" t="n">
        <v>0</v>
      </c>
      <c r="C9" s="39" t="n">
        <v>0.05</v>
      </c>
      <c r="D9" s="39" t="n">
        <v>0.05</v>
      </c>
      <c r="E9" s="40" t="n">
        <v>0</v>
      </c>
      <c r="F9" s="39" t="n">
        <v>0.05</v>
      </c>
      <c r="G9" s="38" t="n">
        <v>-0.1</v>
      </c>
      <c r="H9" s="38" t="n">
        <v>-0.05</v>
      </c>
      <c r="I9" s="41" t="n">
        <f aca="false">AVERAGE(B9:H9)</f>
        <v>0</v>
      </c>
    </row>
    <row r="10" customFormat="false" ht="15.75" hidden="false" customHeight="true" outlineLevel="0" collapsed="false">
      <c r="A10" s="33" t="s">
        <v>88</v>
      </c>
      <c r="B10" s="41" t="n">
        <f aca="false">AVERAGE(B5:B9)</f>
        <v>-0.05</v>
      </c>
      <c r="C10" s="41" t="n">
        <f aca="false">AVERAGE(C5:C9)</f>
        <v>0.05</v>
      </c>
      <c r="D10" s="41" t="n">
        <f aca="false">AVERAGE(D5:D9)</f>
        <v>-0.03</v>
      </c>
      <c r="E10" s="41" t="n">
        <f aca="false">AVERAGE(E5:E9)</f>
        <v>-0.05</v>
      </c>
      <c r="F10" s="41" t="n">
        <f aca="false">AVERAGE(F5:F9)</f>
        <v>0.02</v>
      </c>
      <c r="G10" s="41" t="n">
        <f aca="false">AVERAGE(G5:G9)</f>
        <v>-0.06</v>
      </c>
      <c r="H10" s="41" t="n">
        <f aca="false">AVERAGE(H5:H9)</f>
        <v>-0.07</v>
      </c>
      <c r="I10" s="42" t="n">
        <f aca="false">AVERAGE(B5:H9)</f>
        <v>-0.0271428571428571</v>
      </c>
    </row>
    <row r="13" customFormat="false" ht="19.5" hidden="false" customHeight="true" outlineLevel="0" collapsed="false">
      <c r="A13" s="26" t="s">
        <v>95</v>
      </c>
      <c r="B13" s="26"/>
      <c r="C13" s="26"/>
      <c r="D13" s="26"/>
      <c r="E13" s="26"/>
      <c r="F13" s="26"/>
      <c r="G13" s="26"/>
      <c r="H13" s="26"/>
      <c r="I13" s="26"/>
    </row>
    <row r="14" customFormat="false" ht="30" hidden="false" customHeight="true" outlineLevel="0" collapsed="false">
      <c r="A14" s="27" t="s">
        <v>74</v>
      </c>
      <c r="B14" s="28" t="s">
        <v>75</v>
      </c>
      <c r="C14" s="28" t="s">
        <v>76</v>
      </c>
      <c r="D14" s="28" t="s">
        <v>77</v>
      </c>
      <c r="E14" s="28" t="s">
        <v>78</v>
      </c>
      <c r="F14" s="28" t="s">
        <v>79</v>
      </c>
      <c r="G14" s="28" t="s">
        <v>80</v>
      </c>
      <c r="H14" s="28" t="s">
        <v>81</v>
      </c>
      <c r="I14" s="29" t="s">
        <v>82</v>
      </c>
    </row>
    <row r="15" customFormat="false" ht="15.75" hidden="false" customHeight="true" outlineLevel="0" collapsed="false">
      <c r="A15" s="30" t="s">
        <v>83</v>
      </c>
      <c r="B15" s="39" t="n">
        <v>0.3</v>
      </c>
      <c r="C15" s="38" t="n">
        <v>-0.1</v>
      </c>
      <c r="D15" s="39" t="n">
        <v>0.3</v>
      </c>
      <c r="E15" s="39" t="n">
        <v>0.25</v>
      </c>
      <c r="F15" s="38" t="n">
        <v>-0.05</v>
      </c>
      <c r="G15" s="40" t="n">
        <v>0</v>
      </c>
      <c r="H15" s="39" t="n">
        <v>0.1</v>
      </c>
      <c r="I15" s="41" t="n">
        <f aca="false">AVERAGE(B15:H15)</f>
        <v>0.114285714285714</v>
      </c>
    </row>
    <row r="16" customFormat="false" ht="15.75" hidden="false" customHeight="true" outlineLevel="0" collapsed="false">
      <c r="A16" s="30" t="s">
        <v>84</v>
      </c>
      <c r="B16" s="38" t="n">
        <v>-0.2</v>
      </c>
      <c r="C16" s="38" t="n">
        <v>-0.35</v>
      </c>
      <c r="D16" s="38" t="n">
        <v>-0.3</v>
      </c>
      <c r="E16" s="38" t="n">
        <v>-0.1</v>
      </c>
      <c r="F16" s="38" t="n">
        <v>-0.0499999999999999</v>
      </c>
      <c r="G16" s="38" t="n">
        <v>-0.3</v>
      </c>
      <c r="H16" s="38" t="n">
        <v>-0.2</v>
      </c>
      <c r="I16" s="41" t="n">
        <f aca="false">AVERAGE(B16:H16)</f>
        <v>-0.214285714285714</v>
      </c>
    </row>
    <row r="17" customFormat="false" ht="15.75" hidden="false" customHeight="true" outlineLevel="0" collapsed="false">
      <c r="A17" s="30" t="s">
        <v>85</v>
      </c>
      <c r="B17" s="38" t="n">
        <v>-0.3</v>
      </c>
      <c r="C17" s="38" t="n">
        <v>-0.3</v>
      </c>
      <c r="D17" s="38" t="n">
        <v>-0.15</v>
      </c>
      <c r="E17" s="38" t="n">
        <v>-0.15</v>
      </c>
      <c r="F17" s="38" t="n">
        <v>-0.1</v>
      </c>
      <c r="G17" s="38" t="n">
        <v>-0.3</v>
      </c>
      <c r="H17" s="38" t="n">
        <v>-0.1</v>
      </c>
      <c r="I17" s="41" t="n">
        <f aca="false">AVERAGE(B17:H17)</f>
        <v>-0.2</v>
      </c>
    </row>
    <row r="18" customFormat="false" ht="15.75" hidden="false" customHeight="true" outlineLevel="0" collapsed="false">
      <c r="A18" s="30" t="s">
        <v>86</v>
      </c>
      <c r="B18" s="38" t="n">
        <v>-0.15</v>
      </c>
      <c r="C18" s="38" t="n">
        <v>-0.15</v>
      </c>
      <c r="D18" s="38" t="n">
        <v>-0.15</v>
      </c>
      <c r="E18" s="39" t="n">
        <v>0.02</v>
      </c>
      <c r="F18" s="38" t="n">
        <v>-0.19</v>
      </c>
      <c r="G18" s="38" t="n">
        <v>-0.2</v>
      </c>
      <c r="H18" s="38" t="n">
        <v>-0.2</v>
      </c>
      <c r="I18" s="41" t="n">
        <f aca="false">AVERAGE(B18:H18)</f>
        <v>-0.145714285714286</v>
      </c>
    </row>
    <row r="19" customFormat="false" ht="15.75" hidden="false" customHeight="true" outlineLevel="0" collapsed="false">
      <c r="A19" s="30" t="s">
        <v>87</v>
      </c>
      <c r="B19" s="38" t="n">
        <v>-0.05</v>
      </c>
      <c r="C19" s="38" t="n">
        <v>-0.05</v>
      </c>
      <c r="D19" s="38" t="n">
        <v>-0.05</v>
      </c>
      <c r="E19" s="39" t="n">
        <v>0.05</v>
      </c>
      <c r="F19" s="39" t="n">
        <v>0.05</v>
      </c>
      <c r="G19" s="39" t="n">
        <v>0.1</v>
      </c>
      <c r="H19" s="39" t="n">
        <v>0.05</v>
      </c>
      <c r="I19" s="41" t="n">
        <f aca="false">AVERAGE(B19:H19)</f>
        <v>0.0142857142857143</v>
      </c>
    </row>
    <row r="20" customFormat="false" ht="15.75" hidden="false" customHeight="true" outlineLevel="0" collapsed="false">
      <c r="A20" s="33" t="s">
        <v>88</v>
      </c>
      <c r="B20" s="41" t="n">
        <f aca="false">AVERAGE(B15:B19)</f>
        <v>-0.08</v>
      </c>
      <c r="C20" s="41" t="n">
        <f aca="false">AVERAGE(C15:C19)</f>
        <v>-0.19</v>
      </c>
      <c r="D20" s="41" t="n">
        <f aca="false">AVERAGE(D15:D19)</f>
        <v>-0.07</v>
      </c>
      <c r="E20" s="41" t="n">
        <f aca="false">AVERAGE(E15:E19)</f>
        <v>0.014</v>
      </c>
      <c r="F20" s="41" t="n">
        <f aca="false">AVERAGE(F15:F19)</f>
        <v>-0.068</v>
      </c>
      <c r="G20" s="41" t="n">
        <f aca="false">AVERAGE(G15:G19)</f>
        <v>-0.14</v>
      </c>
      <c r="H20" s="41" t="n">
        <f aca="false">AVERAGE(H15:H19)</f>
        <v>-0.07</v>
      </c>
      <c r="I20" s="42" t="n">
        <f aca="false">AVERAGE(B15:H19)</f>
        <v>-0.0862857142857143</v>
      </c>
    </row>
    <row r="23" customFormat="false" ht="19.5" hidden="false" customHeight="true" outlineLevel="0" collapsed="false">
      <c r="A23" s="26" t="s">
        <v>96</v>
      </c>
      <c r="B23" s="26"/>
      <c r="C23" s="26"/>
      <c r="D23" s="26"/>
      <c r="E23" s="26"/>
      <c r="F23" s="26"/>
      <c r="G23" s="26"/>
      <c r="H23" s="26"/>
      <c r="I23" s="26"/>
    </row>
    <row r="24" customFormat="false" ht="30" hidden="false" customHeight="true" outlineLevel="0" collapsed="false">
      <c r="A24" s="27" t="s">
        <v>74</v>
      </c>
      <c r="B24" s="28" t="s">
        <v>75</v>
      </c>
      <c r="C24" s="28" t="s">
        <v>76</v>
      </c>
      <c r="D24" s="28" t="s">
        <v>77</v>
      </c>
      <c r="E24" s="28" t="s">
        <v>78</v>
      </c>
      <c r="F24" s="28" t="s">
        <v>79</v>
      </c>
      <c r="G24" s="28" t="s">
        <v>80</v>
      </c>
      <c r="H24" s="28" t="s">
        <v>81</v>
      </c>
      <c r="I24" s="29" t="s">
        <v>82</v>
      </c>
    </row>
    <row r="25" customFormat="false" ht="15.75" hidden="false" customHeight="true" outlineLevel="0" collapsed="false">
      <c r="A25" s="30" t="s">
        <v>83</v>
      </c>
      <c r="B25" s="40" t="n">
        <v>0</v>
      </c>
      <c r="C25" s="40" t="n">
        <v>0</v>
      </c>
      <c r="D25" s="40" t="n">
        <v>0</v>
      </c>
      <c r="E25" s="40" t="n">
        <v>0</v>
      </c>
      <c r="F25" s="40" t="n">
        <v>0</v>
      </c>
      <c r="G25" s="40" t="n">
        <v>0</v>
      </c>
      <c r="H25" s="40" t="n">
        <v>0</v>
      </c>
      <c r="I25" s="41" t="n">
        <f aca="false">AVERAGE(B25:H25)</f>
        <v>0</v>
      </c>
    </row>
    <row r="26" customFormat="false" ht="15.75" hidden="false" customHeight="true" outlineLevel="0" collapsed="false">
      <c r="A26" s="30" t="s">
        <v>84</v>
      </c>
      <c r="B26" s="40" t="n">
        <v>0</v>
      </c>
      <c r="C26" s="40" t="n">
        <v>0</v>
      </c>
      <c r="D26" s="40" t="n">
        <v>0</v>
      </c>
      <c r="E26" s="40" t="n">
        <v>0</v>
      </c>
      <c r="F26" s="40" t="n">
        <v>0</v>
      </c>
      <c r="G26" s="40" t="n">
        <v>0</v>
      </c>
      <c r="H26" s="40" t="n">
        <v>0</v>
      </c>
      <c r="I26" s="41" t="n">
        <f aca="false">AVERAGE(B26:H26)</f>
        <v>0</v>
      </c>
    </row>
    <row r="27" customFormat="false" ht="15.75" hidden="false" customHeight="true" outlineLevel="0" collapsed="false">
      <c r="A27" s="30" t="s">
        <v>85</v>
      </c>
      <c r="B27" s="39" t="n">
        <v>0.05</v>
      </c>
      <c r="C27" s="39" t="n">
        <v>0.1</v>
      </c>
      <c r="D27" s="38" t="n">
        <v>-0.1</v>
      </c>
      <c r="E27" s="38" t="n">
        <v>-0.1</v>
      </c>
      <c r="F27" s="38" t="n">
        <v>-0.05</v>
      </c>
      <c r="G27" s="39" t="n">
        <v>0.15</v>
      </c>
      <c r="H27" s="38" t="n">
        <v>-0.05</v>
      </c>
      <c r="I27" s="41" t="n">
        <f aca="false">AVERAGE(B27:H27)</f>
        <v>0</v>
      </c>
    </row>
    <row r="28" customFormat="false" ht="15.75" hidden="false" customHeight="true" outlineLevel="0" collapsed="false">
      <c r="A28" s="30" t="s">
        <v>86</v>
      </c>
      <c r="B28" s="39" t="n">
        <v>0.1</v>
      </c>
      <c r="C28" s="40" t="n">
        <v>0</v>
      </c>
      <c r="D28" s="39" t="n">
        <v>0.05</v>
      </c>
      <c r="E28" s="38" t="n">
        <v>-0.17</v>
      </c>
      <c r="F28" s="39" t="n">
        <v>0.02</v>
      </c>
      <c r="G28" s="39" t="n">
        <v>0.1</v>
      </c>
      <c r="H28" s="39" t="n">
        <v>0.1</v>
      </c>
      <c r="I28" s="41" t="n">
        <f aca="false">AVERAGE(B28:H28)</f>
        <v>0.0285714285714286</v>
      </c>
    </row>
    <row r="29" customFormat="false" ht="15.75" hidden="false" customHeight="true" outlineLevel="0" collapsed="false">
      <c r="A29" s="30" t="s">
        <v>87</v>
      </c>
      <c r="B29" s="38" t="n">
        <v>-0.1</v>
      </c>
      <c r="C29" s="38" t="n">
        <v>-0.05</v>
      </c>
      <c r="D29" s="38" t="n">
        <v>-0.1</v>
      </c>
      <c r="E29" s="40" t="n">
        <v>0</v>
      </c>
      <c r="F29" s="38" t="n">
        <v>-0.1</v>
      </c>
      <c r="G29" s="40" t="n">
        <v>0</v>
      </c>
      <c r="H29" s="40" t="n">
        <v>0</v>
      </c>
      <c r="I29" s="41" t="n">
        <f aca="false">AVERAGE(B29:H29)</f>
        <v>-0.05</v>
      </c>
    </row>
    <row r="30" customFormat="false" ht="15.75" hidden="false" customHeight="true" outlineLevel="0" collapsed="false">
      <c r="A30" s="33" t="s">
        <v>88</v>
      </c>
      <c r="B30" s="41" t="n">
        <f aca="false">AVERAGE(B25:B29)</f>
        <v>0.01</v>
      </c>
      <c r="C30" s="41" t="n">
        <f aca="false">AVERAGE(C25:C29)</f>
        <v>0.00999999999999999</v>
      </c>
      <c r="D30" s="41" t="n">
        <f aca="false">AVERAGE(D25:D29)</f>
        <v>-0.03</v>
      </c>
      <c r="E30" s="41" t="n">
        <f aca="false">AVERAGE(E25:E29)</f>
        <v>-0.054</v>
      </c>
      <c r="F30" s="41" t="n">
        <f aca="false">AVERAGE(F25:F29)</f>
        <v>-0.026</v>
      </c>
      <c r="G30" s="41" t="n">
        <f aca="false">AVERAGE(G25:G29)</f>
        <v>0.05</v>
      </c>
      <c r="H30" s="41" t="n">
        <f aca="false">AVERAGE(H25:H29)</f>
        <v>0.01</v>
      </c>
      <c r="I30" s="42" t="n">
        <f aca="false">AVERAGE(B25:H29)</f>
        <v>-0.00428571428571429</v>
      </c>
    </row>
    <row r="33" customFormat="false" ht="19.5" hidden="false" customHeight="true" outlineLevel="0" collapsed="false">
      <c r="A33" s="26" t="s">
        <v>97</v>
      </c>
      <c r="B33" s="26"/>
      <c r="C33" s="26"/>
      <c r="D33" s="26"/>
      <c r="E33" s="26"/>
      <c r="F33" s="26"/>
      <c r="G33" s="26"/>
      <c r="H33" s="26"/>
      <c r="I33" s="26"/>
    </row>
    <row r="34" customFormat="false" ht="30" hidden="false" customHeight="true" outlineLevel="0" collapsed="false">
      <c r="A34" s="27" t="s">
        <v>74</v>
      </c>
      <c r="B34" s="28" t="s">
        <v>75</v>
      </c>
      <c r="C34" s="28" t="s">
        <v>76</v>
      </c>
      <c r="D34" s="28" t="s">
        <v>77</v>
      </c>
      <c r="E34" s="28" t="s">
        <v>78</v>
      </c>
      <c r="F34" s="28" t="s">
        <v>79</v>
      </c>
      <c r="G34" s="28" t="s">
        <v>80</v>
      </c>
      <c r="H34" s="28" t="s">
        <v>81</v>
      </c>
      <c r="I34" s="29" t="s">
        <v>82</v>
      </c>
    </row>
    <row r="35" customFormat="false" ht="15.75" hidden="false" customHeight="true" outlineLevel="0" collapsed="false">
      <c r="A35" s="30" t="s">
        <v>83</v>
      </c>
      <c r="B35" s="40" t="n">
        <v>0</v>
      </c>
      <c r="C35" s="40" t="n">
        <v>0</v>
      </c>
      <c r="D35" s="40" t="n">
        <v>0</v>
      </c>
      <c r="E35" s="40" t="n">
        <v>0</v>
      </c>
      <c r="F35" s="40" t="n">
        <v>0</v>
      </c>
      <c r="G35" s="40" t="n">
        <v>0</v>
      </c>
      <c r="H35" s="40" t="n">
        <v>0</v>
      </c>
      <c r="I35" s="41" t="n">
        <f aca="false">AVERAGE(B35:H35)</f>
        <v>0</v>
      </c>
    </row>
    <row r="36" customFormat="false" ht="15.75" hidden="false" customHeight="true" outlineLevel="0" collapsed="false">
      <c r="A36" s="30" t="s">
        <v>84</v>
      </c>
      <c r="B36" s="39" t="n">
        <v>0.2</v>
      </c>
      <c r="C36" s="39" t="n">
        <v>0.3</v>
      </c>
      <c r="D36" s="39" t="n">
        <v>0.3</v>
      </c>
      <c r="E36" s="39" t="n">
        <v>0.15</v>
      </c>
      <c r="F36" s="39" t="n">
        <v>0.05</v>
      </c>
      <c r="G36" s="39" t="n">
        <v>0.4</v>
      </c>
      <c r="H36" s="39" t="n">
        <v>0.35</v>
      </c>
      <c r="I36" s="41" t="n">
        <f aca="false">AVERAGE(B36:H36)</f>
        <v>0.25</v>
      </c>
    </row>
    <row r="37" customFormat="false" ht="15.75" hidden="false" customHeight="true" outlineLevel="0" collapsed="false">
      <c r="A37" s="30" t="s">
        <v>85</v>
      </c>
      <c r="B37" s="39" t="n">
        <v>0.2</v>
      </c>
      <c r="C37" s="39" t="n">
        <v>0.15</v>
      </c>
      <c r="D37" s="39" t="n">
        <v>0.15</v>
      </c>
      <c r="E37" s="39" t="n">
        <v>0.25</v>
      </c>
      <c r="F37" s="39" t="n">
        <v>0.15</v>
      </c>
      <c r="G37" s="39" t="n">
        <v>0.2</v>
      </c>
      <c r="H37" s="39" t="n">
        <v>0.2</v>
      </c>
      <c r="I37" s="41" t="n">
        <f aca="false">AVERAGE(B37:H37)</f>
        <v>0.185714285714286</v>
      </c>
    </row>
    <row r="38" customFormat="false" ht="15.75" hidden="false" customHeight="true" outlineLevel="0" collapsed="false">
      <c r="A38" s="30" t="s">
        <v>86</v>
      </c>
      <c r="B38" s="39" t="n">
        <v>0.05</v>
      </c>
      <c r="C38" s="39" t="n">
        <v>0.15</v>
      </c>
      <c r="D38" s="39" t="n">
        <v>0.1</v>
      </c>
      <c r="E38" s="39" t="n">
        <v>0.1</v>
      </c>
      <c r="F38" s="39" t="n">
        <v>0.17</v>
      </c>
      <c r="G38" s="39" t="n">
        <v>0.15</v>
      </c>
      <c r="H38" s="39" t="n">
        <v>0.1</v>
      </c>
      <c r="I38" s="41" t="n">
        <f aca="false">AVERAGE(B38:H38)</f>
        <v>0.117142857142857</v>
      </c>
    </row>
    <row r="39" customFormat="false" ht="15.75" hidden="false" customHeight="true" outlineLevel="0" collapsed="false">
      <c r="A39" s="30" t="s">
        <v>87</v>
      </c>
      <c r="B39" s="39" t="n">
        <v>0.15</v>
      </c>
      <c r="C39" s="39" t="n">
        <v>0.05</v>
      </c>
      <c r="D39" s="39" t="n">
        <v>0.1</v>
      </c>
      <c r="E39" s="38" t="n">
        <v>-0.05</v>
      </c>
      <c r="F39" s="40" t="n">
        <v>0</v>
      </c>
      <c r="G39" s="40" t="n">
        <v>0</v>
      </c>
      <c r="H39" s="40" t="n">
        <v>0</v>
      </c>
      <c r="I39" s="41" t="n">
        <f aca="false">AVERAGE(B39:H39)</f>
        <v>0.0357142857142857</v>
      </c>
    </row>
    <row r="40" customFormat="false" ht="15.75" hidden="false" customHeight="true" outlineLevel="0" collapsed="false">
      <c r="A40" s="33" t="s">
        <v>88</v>
      </c>
      <c r="B40" s="41" t="n">
        <f aca="false">AVERAGE(B35:B39)</f>
        <v>0.12</v>
      </c>
      <c r="C40" s="41" t="n">
        <f aca="false">AVERAGE(C35:C39)</f>
        <v>0.13</v>
      </c>
      <c r="D40" s="41" t="n">
        <f aca="false">AVERAGE(D35:D39)</f>
        <v>0.13</v>
      </c>
      <c r="E40" s="41" t="n">
        <f aca="false">AVERAGE(E35:E39)</f>
        <v>0.09</v>
      </c>
      <c r="F40" s="41" t="n">
        <f aca="false">AVERAGE(F35:F39)</f>
        <v>0.074</v>
      </c>
      <c r="G40" s="41" t="n">
        <f aca="false">AVERAGE(G35:G39)</f>
        <v>0.15</v>
      </c>
      <c r="H40" s="41" t="n">
        <f aca="false">AVERAGE(H35:H39)</f>
        <v>0.13</v>
      </c>
      <c r="I40" s="42" t="n">
        <f aca="false">AVERAGE(B35:H39)</f>
        <v>0.117714285714286</v>
      </c>
    </row>
  </sheetData>
  <mergeCells count="5">
    <mergeCell ref="A1:Z1"/>
    <mergeCell ref="A3:I3"/>
    <mergeCell ref="A13:I13"/>
    <mergeCell ref="A23:I23"/>
    <mergeCell ref="A33:I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8" min="4" style="0" width="14"/>
  </cols>
  <sheetData>
    <row r="1" customFormat="false" ht="27.75" hidden="false" customHeight="true" outlineLevel="0" collapsed="false">
      <c r="A1" s="25" t="s">
        <v>98</v>
      </c>
      <c r="B1" s="25"/>
      <c r="C1" s="25"/>
      <c r="D1" s="25"/>
      <c r="E1" s="25"/>
      <c r="F1" s="25"/>
      <c r="G1" s="25"/>
      <c r="H1" s="25"/>
    </row>
    <row r="2" customFormat="false" ht="18" hidden="false" customHeight="true" outlineLevel="0" collapsed="false">
      <c r="A2" s="3" t="s">
        <v>2</v>
      </c>
      <c r="B2" s="3" t="s">
        <v>3</v>
      </c>
      <c r="C2" s="3" t="s">
        <v>4</v>
      </c>
      <c r="D2" s="43" t="s">
        <v>99</v>
      </c>
      <c r="E2" s="43" t="s">
        <v>100</v>
      </c>
      <c r="F2" s="43" t="s">
        <v>101</v>
      </c>
      <c r="G2" s="43" t="s">
        <v>102</v>
      </c>
      <c r="H2" s="43" t="s">
        <v>103</v>
      </c>
    </row>
    <row r="3" customFormat="false" ht="13.5" hidden="false" customHeight="true" outlineLevel="0" collapsed="false">
      <c r="A3" s="14" t="s">
        <v>20</v>
      </c>
      <c r="B3" s="14"/>
      <c r="C3" s="14"/>
      <c r="D3" s="14"/>
      <c r="E3" s="14"/>
      <c r="F3" s="14"/>
      <c r="G3" s="14"/>
      <c r="H3" s="14"/>
    </row>
    <row r="4" customFormat="false" ht="15" hidden="false" customHeight="true" outlineLevel="0" collapsed="false">
      <c r="A4" s="15" t="s">
        <v>21</v>
      </c>
      <c r="B4" s="16" t="s">
        <v>22</v>
      </c>
      <c r="C4" s="16" t="s">
        <v>23</v>
      </c>
      <c r="D4" s="18" t="n">
        <v>0.0432</v>
      </c>
      <c r="E4" s="18" t="n">
        <v>0.0576</v>
      </c>
      <c r="F4" s="18" t="n">
        <v>0.072</v>
      </c>
      <c r="G4" s="44" t="n">
        <v>-0.05</v>
      </c>
      <c r="H4" s="18" t="n">
        <v>0.072</v>
      </c>
    </row>
    <row r="5" customFormat="false" ht="15" hidden="false" customHeight="true" outlineLevel="0" collapsed="false">
      <c r="A5" s="22" t="s">
        <v>24</v>
      </c>
      <c r="B5" s="23" t="s">
        <v>22</v>
      </c>
      <c r="C5" s="23" t="s">
        <v>25</v>
      </c>
      <c r="D5" s="24" t="n">
        <v>0.0405</v>
      </c>
      <c r="E5" s="24" t="n">
        <v>0.054</v>
      </c>
      <c r="F5" s="24" t="n">
        <v>0.0675</v>
      </c>
      <c r="G5" s="45" t="n">
        <v>-0.05</v>
      </c>
      <c r="H5" s="24" t="n">
        <v>0.0675</v>
      </c>
    </row>
    <row r="6" customFormat="false" ht="15" hidden="false" customHeight="true" outlineLevel="0" collapsed="false">
      <c r="A6" s="15" t="s">
        <v>26</v>
      </c>
      <c r="B6" s="16" t="s">
        <v>22</v>
      </c>
      <c r="C6" s="16" t="s">
        <v>27</v>
      </c>
      <c r="D6" s="18" t="n">
        <v>0.0378</v>
      </c>
      <c r="E6" s="18" t="n">
        <v>0.0504</v>
      </c>
      <c r="F6" s="18" t="n">
        <v>0.063</v>
      </c>
      <c r="G6" s="44" t="n">
        <v>-0.05</v>
      </c>
      <c r="H6" s="18" t="n">
        <v>0.063</v>
      </c>
    </row>
    <row r="7" customFormat="false" ht="15" hidden="false" customHeight="true" outlineLevel="0" collapsed="false">
      <c r="A7" s="22" t="s">
        <v>28</v>
      </c>
      <c r="B7" s="23" t="s">
        <v>22</v>
      </c>
      <c r="C7" s="23" t="s">
        <v>29</v>
      </c>
      <c r="D7" s="24" t="n">
        <v>0.0378</v>
      </c>
      <c r="E7" s="24" t="n">
        <v>0.0504</v>
      </c>
      <c r="F7" s="24" t="n">
        <v>0.063</v>
      </c>
      <c r="G7" s="45" t="n">
        <v>-0.05</v>
      </c>
      <c r="H7" s="24" t="n">
        <v>0.063</v>
      </c>
    </row>
    <row r="8" customFormat="false" ht="15" hidden="false" customHeight="true" outlineLevel="0" collapsed="false">
      <c r="A8" s="15" t="s">
        <v>30</v>
      </c>
      <c r="B8" s="16" t="s">
        <v>22</v>
      </c>
      <c r="C8" s="16" t="s">
        <v>31</v>
      </c>
      <c r="D8" s="18" t="n">
        <v>0.0351</v>
      </c>
      <c r="E8" s="18" t="n">
        <v>0.0468</v>
      </c>
      <c r="F8" s="18" t="n">
        <v>0.0585</v>
      </c>
      <c r="G8" s="44" t="n">
        <v>-0.05</v>
      </c>
      <c r="H8" s="18" t="n">
        <v>0.0585</v>
      </c>
    </row>
    <row r="9" customFormat="false" ht="15" hidden="false" customHeight="true" outlineLevel="0" collapsed="false">
      <c r="A9" s="22" t="s">
        <v>32</v>
      </c>
      <c r="B9" s="23" t="s">
        <v>22</v>
      </c>
      <c r="C9" s="23" t="s">
        <v>33</v>
      </c>
      <c r="D9" s="24" t="n">
        <v>0.0324</v>
      </c>
      <c r="E9" s="24" t="n">
        <v>0.0432</v>
      </c>
      <c r="F9" s="24" t="n">
        <v>0.054</v>
      </c>
      <c r="G9" s="45" t="n">
        <v>-0.05</v>
      </c>
      <c r="H9" s="24" t="n">
        <v>0.054</v>
      </c>
    </row>
    <row r="10" customFormat="false" ht="15" hidden="false" customHeight="true" outlineLevel="0" collapsed="false">
      <c r="A10" s="15" t="s">
        <v>34</v>
      </c>
      <c r="B10" s="16" t="s">
        <v>22</v>
      </c>
      <c r="C10" s="16" t="s">
        <v>35</v>
      </c>
      <c r="D10" s="18" t="n">
        <v>0.0216</v>
      </c>
      <c r="E10" s="18" t="n">
        <v>0.0288</v>
      </c>
      <c r="F10" s="18" t="n">
        <v>0.036</v>
      </c>
      <c r="G10" s="44" t="n">
        <v>-0.05</v>
      </c>
      <c r="H10" s="18" t="n">
        <v>0.036</v>
      </c>
    </row>
    <row r="11" customFormat="false" ht="13.5" hidden="false" customHeight="true" outlineLevel="0" collapsed="false">
      <c r="A11" s="14" t="s">
        <v>36</v>
      </c>
      <c r="B11" s="14"/>
      <c r="C11" s="14"/>
      <c r="D11" s="14"/>
      <c r="E11" s="14"/>
      <c r="F11" s="14"/>
      <c r="G11" s="14"/>
      <c r="H11" s="14"/>
    </row>
    <row r="12" customFormat="false" ht="15" hidden="false" customHeight="true" outlineLevel="0" collapsed="false">
      <c r="A12" s="15" t="s">
        <v>37</v>
      </c>
      <c r="B12" s="16" t="s">
        <v>38</v>
      </c>
      <c r="C12" s="16" t="s">
        <v>23</v>
      </c>
      <c r="D12" s="18" t="n">
        <v>0.0576</v>
      </c>
      <c r="E12" s="18" t="n">
        <v>0.0768</v>
      </c>
      <c r="F12" s="18" t="n">
        <v>0.096</v>
      </c>
      <c r="G12" s="44" t="n">
        <v>-0.1</v>
      </c>
      <c r="H12" s="18" t="n">
        <v>0.096</v>
      </c>
    </row>
    <row r="13" customFormat="false" ht="15" hidden="false" customHeight="true" outlineLevel="0" collapsed="false">
      <c r="A13" s="22" t="s">
        <v>39</v>
      </c>
      <c r="B13" s="23" t="s">
        <v>38</v>
      </c>
      <c r="C13" s="23" t="s">
        <v>25</v>
      </c>
      <c r="D13" s="24" t="n">
        <v>0.054</v>
      </c>
      <c r="E13" s="24" t="n">
        <v>0.072</v>
      </c>
      <c r="F13" s="24" t="n">
        <v>0.09</v>
      </c>
      <c r="G13" s="45" t="n">
        <v>-0.1</v>
      </c>
      <c r="H13" s="24" t="n">
        <v>0.09</v>
      </c>
    </row>
    <row r="14" customFormat="false" ht="15" hidden="false" customHeight="true" outlineLevel="0" collapsed="false">
      <c r="A14" s="15" t="s">
        <v>40</v>
      </c>
      <c r="B14" s="16" t="s">
        <v>38</v>
      </c>
      <c r="C14" s="16" t="s">
        <v>27</v>
      </c>
      <c r="D14" s="18" t="n">
        <v>0.0504</v>
      </c>
      <c r="E14" s="18" t="n">
        <v>0.0672</v>
      </c>
      <c r="F14" s="18" t="n">
        <v>0.084</v>
      </c>
      <c r="G14" s="44" t="n">
        <v>-0.1</v>
      </c>
      <c r="H14" s="18" t="n">
        <v>0.084</v>
      </c>
    </row>
    <row r="15" customFormat="false" ht="15" hidden="false" customHeight="true" outlineLevel="0" collapsed="false">
      <c r="A15" s="22" t="s">
        <v>41</v>
      </c>
      <c r="B15" s="23" t="s">
        <v>38</v>
      </c>
      <c r="C15" s="23" t="s">
        <v>29</v>
      </c>
      <c r="D15" s="24" t="n">
        <v>0.0504</v>
      </c>
      <c r="E15" s="24" t="n">
        <v>0.0672</v>
      </c>
      <c r="F15" s="24" t="n">
        <v>0.084</v>
      </c>
      <c r="G15" s="45" t="n">
        <v>-0.1</v>
      </c>
      <c r="H15" s="24" t="n">
        <v>0.084</v>
      </c>
    </row>
    <row r="16" customFormat="false" ht="15" hidden="false" customHeight="true" outlineLevel="0" collapsed="false">
      <c r="A16" s="15" t="s">
        <v>42</v>
      </c>
      <c r="B16" s="16" t="s">
        <v>38</v>
      </c>
      <c r="C16" s="16" t="s">
        <v>31</v>
      </c>
      <c r="D16" s="18" t="n">
        <v>0.0468</v>
      </c>
      <c r="E16" s="18" t="n">
        <v>0.0624</v>
      </c>
      <c r="F16" s="18" t="n">
        <v>0.078</v>
      </c>
      <c r="G16" s="44" t="n">
        <v>-0.1</v>
      </c>
      <c r="H16" s="18" t="n">
        <v>0.078</v>
      </c>
    </row>
    <row r="17" customFormat="false" ht="15" hidden="false" customHeight="true" outlineLevel="0" collapsed="false">
      <c r="A17" s="22" t="s">
        <v>43</v>
      </c>
      <c r="B17" s="23" t="s">
        <v>38</v>
      </c>
      <c r="C17" s="23" t="s">
        <v>33</v>
      </c>
      <c r="D17" s="24" t="n">
        <v>0.0432</v>
      </c>
      <c r="E17" s="24" t="n">
        <v>0.0576</v>
      </c>
      <c r="F17" s="24" t="n">
        <v>0.072</v>
      </c>
      <c r="G17" s="45" t="n">
        <v>-0.1</v>
      </c>
      <c r="H17" s="24" t="n">
        <v>0.072</v>
      </c>
    </row>
    <row r="18" customFormat="false" ht="15" hidden="false" customHeight="true" outlineLevel="0" collapsed="false">
      <c r="A18" s="15" t="s">
        <v>44</v>
      </c>
      <c r="B18" s="16" t="s">
        <v>38</v>
      </c>
      <c r="C18" s="16" t="s">
        <v>35</v>
      </c>
      <c r="D18" s="18" t="n">
        <v>0.0288</v>
      </c>
      <c r="E18" s="18" t="n">
        <v>0.0384</v>
      </c>
      <c r="F18" s="18" t="n">
        <v>0.048</v>
      </c>
      <c r="G18" s="44" t="n">
        <v>-0.1</v>
      </c>
      <c r="H18" s="18" t="n">
        <v>0.048</v>
      </c>
    </row>
    <row r="19" customFormat="false" ht="13.5" hidden="false" customHeight="true" outlineLevel="0" collapsed="false">
      <c r="A19" s="14" t="s">
        <v>45</v>
      </c>
      <c r="B19" s="14"/>
      <c r="C19" s="14"/>
      <c r="D19" s="14"/>
      <c r="E19" s="14"/>
      <c r="F19" s="14"/>
      <c r="G19" s="14"/>
      <c r="H19" s="14"/>
    </row>
    <row r="20" customFormat="false" ht="15" hidden="false" customHeight="true" outlineLevel="0" collapsed="false">
      <c r="A20" s="15" t="s">
        <v>46</v>
      </c>
      <c r="B20" s="16" t="s">
        <v>47</v>
      </c>
      <c r="C20" s="16" t="s">
        <v>23</v>
      </c>
      <c r="D20" s="18" t="n">
        <v>0.072</v>
      </c>
      <c r="E20" s="18" t="n">
        <v>0.096</v>
      </c>
      <c r="F20" s="18" t="n">
        <v>0.12</v>
      </c>
      <c r="G20" s="44" t="n">
        <v>-0.15</v>
      </c>
      <c r="H20" s="18" t="n">
        <v>0.12</v>
      </c>
    </row>
    <row r="21" customFormat="false" ht="15" hidden="false" customHeight="true" outlineLevel="0" collapsed="false">
      <c r="A21" s="22" t="s">
        <v>48</v>
      </c>
      <c r="B21" s="23" t="s">
        <v>47</v>
      </c>
      <c r="C21" s="23" t="s">
        <v>25</v>
      </c>
      <c r="D21" s="24" t="n">
        <v>0.0675</v>
      </c>
      <c r="E21" s="24" t="n">
        <v>0.09</v>
      </c>
      <c r="F21" s="24" t="n">
        <v>0.1125</v>
      </c>
      <c r="G21" s="45" t="n">
        <v>-0.15</v>
      </c>
      <c r="H21" s="24" t="n">
        <v>0.1125</v>
      </c>
    </row>
    <row r="22" customFormat="false" ht="15" hidden="false" customHeight="true" outlineLevel="0" collapsed="false">
      <c r="A22" s="15" t="s">
        <v>49</v>
      </c>
      <c r="B22" s="16" t="s">
        <v>47</v>
      </c>
      <c r="C22" s="16" t="s">
        <v>27</v>
      </c>
      <c r="D22" s="18" t="n">
        <v>0.063</v>
      </c>
      <c r="E22" s="18" t="n">
        <v>0.084</v>
      </c>
      <c r="F22" s="18" t="n">
        <v>0.105</v>
      </c>
      <c r="G22" s="44" t="n">
        <v>-0.15</v>
      </c>
      <c r="H22" s="18" t="n">
        <v>0.105</v>
      </c>
    </row>
    <row r="23" customFormat="false" ht="15" hidden="false" customHeight="true" outlineLevel="0" collapsed="false">
      <c r="A23" s="22" t="s">
        <v>50</v>
      </c>
      <c r="B23" s="23" t="s">
        <v>47</v>
      </c>
      <c r="C23" s="23" t="s">
        <v>29</v>
      </c>
      <c r="D23" s="24" t="n">
        <v>0.063</v>
      </c>
      <c r="E23" s="24" t="n">
        <v>0.084</v>
      </c>
      <c r="F23" s="24" t="n">
        <v>0.105</v>
      </c>
      <c r="G23" s="45" t="n">
        <v>-0.15</v>
      </c>
      <c r="H23" s="24" t="n">
        <v>0.105</v>
      </c>
    </row>
    <row r="24" customFormat="false" ht="15" hidden="false" customHeight="true" outlineLevel="0" collapsed="false">
      <c r="A24" s="15" t="s">
        <v>51</v>
      </c>
      <c r="B24" s="16" t="s">
        <v>47</v>
      </c>
      <c r="C24" s="16" t="s">
        <v>31</v>
      </c>
      <c r="D24" s="18" t="n">
        <v>0.0585</v>
      </c>
      <c r="E24" s="18" t="n">
        <v>0.078</v>
      </c>
      <c r="F24" s="18" t="n">
        <v>0.0975</v>
      </c>
      <c r="G24" s="44" t="n">
        <v>-0.15</v>
      </c>
      <c r="H24" s="18" t="n">
        <v>0.0975</v>
      </c>
    </row>
    <row r="25" customFormat="false" ht="15" hidden="false" customHeight="true" outlineLevel="0" collapsed="false">
      <c r="A25" s="22" t="s">
        <v>52</v>
      </c>
      <c r="B25" s="23" t="s">
        <v>47</v>
      </c>
      <c r="C25" s="23" t="s">
        <v>33</v>
      </c>
      <c r="D25" s="24" t="n">
        <v>0.054</v>
      </c>
      <c r="E25" s="24" t="n">
        <v>0.072</v>
      </c>
      <c r="F25" s="24" t="n">
        <v>0.09</v>
      </c>
      <c r="G25" s="45" t="n">
        <v>-0.15</v>
      </c>
      <c r="H25" s="24" t="n">
        <v>0.09</v>
      </c>
    </row>
    <row r="26" customFormat="false" ht="15" hidden="false" customHeight="true" outlineLevel="0" collapsed="false">
      <c r="A26" s="15" t="s">
        <v>53</v>
      </c>
      <c r="B26" s="16" t="s">
        <v>47</v>
      </c>
      <c r="C26" s="16" t="s">
        <v>35</v>
      </c>
      <c r="D26" s="18" t="n">
        <v>0.036</v>
      </c>
      <c r="E26" s="18" t="n">
        <v>0.048</v>
      </c>
      <c r="F26" s="18" t="n">
        <v>0.06</v>
      </c>
      <c r="G26" s="44" t="n">
        <v>-0.15</v>
      </c>
      <c r="H26" s="18" t="n">
        <v>0.06</v>
      </c>
    </row>
    <row r="27" customFormat="false" ht="13.5" hidden="false" customHeight="true" outlineLevel="0" collapsed="false">
      <c r="A27" s="14" t="s">
        <v>54</v>
      </c>
      <c r="B27" s="14"/>
      <c r="C27" s="14"/>
      <c r="D27" s="14"/>
      <c r="E27" s="14"/>
      <c r="F27" s="14"/>
      <c r="G27" s="14"/>
      <c r="H27" s="14"/>
    </row>
    <row r="28" customFormat="false" ht="15" hidden="false" customHeight="true" outlineLevel="0" collapsed="false">
      <c r="A28" s="15" t="s">
        <v>55</v>
      </c>
      <c r="B28" s="16" t="s">
        <v>56</v>
      </c>
      <c r="C28" s="16" t="s">
        <v>23</v>
      </c>
      <c r="D28" s="18" t="n">
        <v>0.0864</v>
      </c>
      <c r="E28" s="18" t="n">
        <v>0.1152</v>
      </c>
      <c r="F28" s="18" t="n">
        <v>0.144</v>
      </c>
      <c r="G28" s="44" t="n">
        <v>-0.2</v>
      </c>
      <c r="H28" s="18" t="n">
        <v>0.144</v>
      </c>
    </row>
    <row r="29" customFormat="false" ht="15" hidden="false" customHeight="true" outlineLevel="0" collapsed="false">
      <c r="A29" s="22" t="s">
        <v>57</v>
      </c>
      <c r="B29" s="23" t="s">
        <v>56</v>
      </c>
      <c r="C29" s="23" t="s">
        <v>25</v>
      </c>
      <c r="D29" s="24" t="n">
        <v>0.081</v>
      </c>
      <c r="E29" s="24" t="n">
        <v>0.108</v>
      </c>
      <c r="F29" s="24" t="n">
        <v>0.135</v>
      </c>
      <c r="G29" s="45" t="n">
        <v>-0.2</v>
      </c>
      <c r="H29" s="24" t="n">
        <v>0.135</v>
      </c>
    </row>
    <row r="30" customFormat="false" ht="15" hidden="false" customHeight="true" outlineLevel="0" collapsed="false">
      <c r="A30" s="15" t="s">
        <v>58</v>
      </c>
      <c r="B30" s="16" t="s">
        <v>56</v>
      </c>
      <c r="C30" s="16" t="s">
        <v>27</v>
      </c>
      <c r="D30" s="18" t="n">
        <v>0.0756</v>
      </c>
      <c r="E30" s="18" t="n">
        <v>0.1008</v>
      </c>
      <c r="F30" s="18" t="n">
        <v>0.126</v>
      </c>
      <c r="G30" s="44" t="n">
        <v>-0.2</v>
      </c>
      <c r="H30" s="18" t="n">
        <v>0.126</v>
      </c>
    </row>
    <row r="31" customFormat="false" ht="15" hidden="false" customHeight="true" outlineLevel="0" collapsed="false">
      <c r="A31" s="22" t="s">
        <v>59</v>
      </c>
      <c r="B31" s="23" t="s">
        <v>56</v>
      </c>
      <c r="C31" s="23" t="s">
        <v>29</v>
      </c>
      <c r="D31" s="24" t="n">
        <v>0.0756</v>
      </c>
      <c r="E31" s="24" t="n">
        <v>0.1008</v>
      </c>
      <c r="F31" s="24" t="n">
        <v>0.126</v>
      </c>
      <c r="G31" s="45" t="n">
        <v>-0.2</v>
      </c>
      <c r="H31" s="24" t="n">
        <v>0.126</v>
      </c>
    </row>
    <row r="32" customFormat="false" ht="15" hidden="false" customHeight="true" outlineLevel="0" collapsed="false">
      <c r="A32" s="15" t="s">
        <v>60</v>
      </c>
      <c r="B32" s="16" t="s">
        <v>56</v>
      </c>
      <c r="C32" s="16" t="s">
        <v>31</v>
      </c>
      <c r="D32" s="18" t="n">
        <v>0.0702</v>
      </c>
      <c r="E32" s="18" t="n">
        <v>0.0936</v>
      </c>
      <c r="F32" s="18" t="n">
        <v>0.117</v>
      </c>
      <c r="G32" s="44" t="n">
        <v>-0.2</v>
      </c>
      <c r="H32" s="18" t="n">
        <v>0.117</v>
      </c>
    </row>
    <row r="33" customFormat="false" ht="15" hidden="false" customHeight="true" outlineLevel="0" collapsed="false">
      <c r="A33" s="22" t="s">
        <v>61</v>
      </c>
      <c r="B33" s="23" t="s">
        <v>56</v>
      </c>
      <c r="C33" s="23" t="s">
        <v>33</v>
      </c>
      <c r="D33" s="24" t="n">
        <v>0.0648</v>
      </c>
      <c r="E33" s="24" t="n">
        <v>0.0864</v>
      </c>
      <c r="F33" s="24" t="n">
        <v>0.108</v>
      </c>
      <c r="G33" s="45" t="n">
        <v>-0.2</v>
      </c>
      <c r="H33" s="24" t="n">
        <v>0.108</v>
      </c>
    </row>
    <row r="34" customFormat="false" ht="15" hidden="false" customHeight="true" outlineLevel="0" collapsed="false">
      <c r="A34" s="15" t="s">
        <v>62</v>
      </c>
      <c r="B34" s="16" t="s">
        <v>56</v>
      </c>
      <c r="C34" s="16" t="s">
        <v>35</v>
      </c>
      <c r="D34" s="18" t="n">
        <v>0.0432</v>
      </c>
      <c r="E34" s="18" t="n">
        <v>0.0576</v>
      </c>
      <c r="F34" s="18" t="n">
        <v>0.072</v>
      </c>
      <c r="G34" s="44" t="n">
        <v>-0.2</v>
      </c>
      <c r="H34" s="18" t="n">
        <v>0.072</v>
      </c>
    </row>
    <row r="35" customFormat="false" ht="13.5" hidden="false" customHeight="true" outlineLevel="0" collapsed="false">
      <c r="A35" s="14" t="s">
        <v>63</v>
      </c>
      <c r="B35" s="14"/>
      <c r="C35" s="14"/>
      <c r="D35" s="14"/>
      <c r="E35" s="14"/>
      <c r="F35" s="14"/>
      <c r="G35" s="14"/>
      <c r="H35" s="14"/>
    </row>
    <row r="36" customFormat="false" ht="15" hidden="false" customHeight="true" outlineLevel="0" collapsed="false">
      <c r="A36" s="15" t="s">
        <v>64</v>
      </c>
      <c r="B36" s="16" t="s">
        <v>65</v>
      </c>
      <c r="C36" s="16" t="s">
        <v>23</v>
      </c>
      <c r="D36" s="18" t="n">
        <v>0.096</v>
      </c>
      <c r="E36" s="18" t="n">
        <v>0.128</v>
      </c>
      <c r="F36" s="18" t="n">
        <v>0.16</v>
      </c>
      <c r="G36" s="44" t="n">
        <v>-0.25</v>
      </c>
      <c r="H36" s="18" t="n">
        <v>0.16</v>
      </c>
    </row>
    <row r="37" customFormat="false" ht="15" hidden="false" customHeight="true" outlineLevel="0" collapsed="false">
      <c r="A37" s="22" t="s">
        <v>66</v>
      </c>
      <c r="B37" s="23" t="s">
        <v>65</v>
      </c>
      <c r="C37" s="23" t="s">
        <v>25</v>
      </c>
      <c r="D37" s="24" t="n">
        <v>0.09</v>
      </c>
      <c r="E37" s="24" t="n">
        <v>0.12</v>
      </c>
      <c r="F37" s="24" t="n">
        <v>0.15</v>
      </c>
      <c r="G37" s="45" t="n">
        <v>-0.25</v>
      </c>
      <c r="H37" s="24" t="n">
        <v>0.15</v>
      </c>
    </row>
    <row r="38" customFormat="false" ht="15" hidden="false" customHeight="true" outlineLevel="0" collapsed="false">
      <c r="A38" s="15" t="s">
        <v>67</v>
      </c>
      <c r="B38" s="16" t="s">
        <v>65</v>
      </c>
      <c r="C38" s="16" t="s">
        <v>27</v>
      </c>
      <c r="D38" s="18" t="n">
        <v>0.084</v>
      </c>
      <c r="E38" s="18" t="n">
        <v>0.112</v>
      </c>
      <c r="F38" s="18" t="n">
        <v>0.14</v>
      </c>
      <c r="G38" s="44" t="n">
        <v>-0.25</v>
      </c>
      <c r="H38" s="18" t="n">
        <v>0.14</v>
      </c>
    </row>
    <row r="39" customFormat="false" ht="15" hidden="false" customHeight="true" outlineLevel="0" collapsed="false">
      <c r="A39" s="22" t="s">
        <v>68</v>
      </c>
      <c r="B39" s="23" t="s">
        <v>65</v>
      </c>
      <c r="C39" s="23" t="s">
        <v>29</v>
      </c>
      <c r="D39" s="24" t="n">
        <v>0.084</v>
      </c>
      <c r="E39" s="24" t="n">
        <v>0.112</v>
      </c>
      <c r="F39" s="24" t="n">
        <v>0.14</v>
      </c>
      <c r="G39" s="45" t="n">
        <v>-0.25</v>
      </c>
      <c r="H39" s="24" t="n">
        <v>0.14</v>
      </c>
    </row>
    <row r="40" customFormat="false" ht="15" hidden="false" customHeight="true" outlineLevel="0" collapsed="false">
      <c r="A40" s="15" t="s">
        <v>69</v>
      </c>
      <c r="B40" s="16" t="s">
        <v>65</v>
      </c>
      <c r="C40" s="16" t="s">
        <v>31</v>
      </c>
      <c r="D40" s="18" t="n">
        <v>0.078</v>
      </c>
      <c r="E40" s="18" t="n">
        <v>0.104</v>
      </c>
      <c r="F40" s="18" t="n">
        <v>0.13</v>
      </c>
      <c r="G40" s="44" t="n">
        <v>-0.25</v>
      </c>
      <c r="H40" s="18" t="n">
        <v>0.13</v>
      </c>
    </row>
    <row r="41" customFormat="false" ht="15" hidden="false" customHeight="true" outlineLevel="0" collapsed="false">
      <c r="A41" s="22" t="s">
        <v>70</v>
      </c>
      <c r="B41" s="23" t="s">
        <v>65</v>
      </c>
      <c r="C41" s="23" t="s">
        <v>33</v>
      </c>
      <c r="D41" s="24" t="n">
        <v>0.072</v>
      </c>
      <c r="E41" s="24" t="n">
        <v>0.096</v>
      </c>
      <c r="F41" s="24" t="n">
        <v>0.12</v>
      </c>
      <c r="G41" s="45" t="n">
        <v>-0.25</v>
      </c>
      <c r="H41" s="24" t="n">
        <v>0.12</v>
      </c>
    </row>
    <row r="42" customFormat="false" ht="15" hidden="false" customHeight="true" outlineLevel="0" collapsed="false">
      <c r="A42" s="15" t="s">
        <v>71</v>
      </c>
      <c r="B42" s="16" t="s">
        <v>65</v>
      </c>
      <c r="C42" s="16" t="s">
        <v>35</v>
      </c>
      <c r="D42" s="18" t="n">
        <v>0.048</v>
      </c>
      <c r="E42" s="18" t="n">
        <v>0.064</v>
      </c>
      <c r="F42" s="18" t="n">
        <v>0.08</v>
      </c>
      <c r="G42" s="44" t="n">
        <v>-0.25</v>
      </c>
      <c r="H42" s="18" t="n">
        <v>0.08</v>
      </c>
    </row>
  </sheetData>
  <mergeCells count="6">
    <mergeCell ref="A1:H1"/>
    <mergeCell ref="A3:H3"/>
    <mergeCell ref="A11:H11"/>
    <mergeCell ref="A19:H19"/>
    <mergeCell ref="A27:H27"/>
    <mergeCell ref="A35:H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2026-04-10T08:34:16Z</dcterms:created>
  <dc:creator>openpyxl</dc:creator>
  <dc:description/>
  <dc:language>en-US</dc:language>
  <cp:lastModifiedBy/>
  <dcterms:modified xsi:type="dcterms:W3CDTF">2026-04-10T08:34:16Z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